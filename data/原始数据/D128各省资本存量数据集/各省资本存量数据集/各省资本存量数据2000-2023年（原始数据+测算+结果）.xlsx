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原始数据和计算过程" sheetId="1" r:id="rId1"/>
    <sheet name="各省资本存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<sst xmlns="http://schemas.openxmlformats.org/spreadsheetml/2006/main" count="260" uniqueCount="44">
  <si>
    <t>指标：固定资本形成总额(亿元)，去掉西藏</t>
  </si>
  <si>
    <t>地区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</si>
  <si>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</si>
  <si>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</si>
  <si>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</si>
  <si>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</si>
  <si>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</si>
  <si>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</si>
  <si>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</si>
  <si>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</si>
  <si>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</si>
  <si>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</si>
  <si>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</si>
  <si>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</si>
  <si>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</si>
  <si>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</si>
  <si>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</si>
  <si>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</si>
  <si>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</si>
  <si>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</si>
  <si>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</si>
  <si>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</si>
  <si>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</si>
  <si>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</si>
  <si>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</si>
  <si>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</si>
  <si>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</si>
  <si>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</si>
  <si>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</si>
  <si>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</si>
  <si>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</si>
  <si>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</si>
  <si>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固定资产投资价格指数(上年=100)</t>
  </si>
  <si>
    <t>（2020、2021、2022、2023利用cpi代替）</t>
  </si>
  <si>
    <t>数据来源：中国统计年鉴、中国统计年鉴、各省统计年鉴</t>
  </si>
  <si>
    <t>以2000为基期的投资价格平减指数计算</t>
  </si>
  <si>
    <t>数据平减：固定资本形成总额不变价=现价/平减指数</t>
  </si>
  <si>
    <t>固定资本形成总额因为是现价，所以要进行平减，变成不变价or可比价，两种叫法都可以</t>
  </si>
  <si>
    <t>投资增长率</t>
  </si>
  <si>
    <t>年均增长率u</t>
  </si>
  <si>
    <t>本期资本存量=上期资本存量*（1-10.96%）+本期固定资产形成总额，其中10.96%是折旧率，引用单豪杰的做法</t>
  </si>
  <si>
    <t>资本存量计算公式——永续盘存法</t>
  </si>
  <si>
    <t>以2000年为基准年份的基年资本存量的准确——引用单豪杰（2008）数量经济技术经济研究上的一篇文章《中国资本存量K的再估算： 1952～2006年》，即采用各省2001年的固定资本形成总额比上平均折旧率10.96%与2001～2005年间投资增长率的平均值之和作为该省的初始资本存量</t>
  </si>
  <si>
    <t>2000-2023资本存量计算如下：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</si>
</sst>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等线"/>
      <charset val="134"/>
    </font>
    <font>
      <sz val="11"/>
      <name val="等线"/>
      <charset val="134"/>
    </font>
    <font>
      <sz val="11"/>
      <color theme="1" tint="0.249977111117893"/>
      <name val="等线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0"/>
      <name val="等线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45606</xdr:colOff>
      <xdr:row>166</xdr:row>
      <xdr:rowOff>0</xdr:rowOff>
    </xdr:from>
    <xdr:to>
      <xdr:col>21</xdr:col>
      <xdr:colOff>547283</xdr:colOff>
      <xdr:row>167</xdr:row>
      <xdr:rowOff>126444</xdr:rowOff>
    </xdr:to>
    <xdr:pic>
      <xdr:nvPicPr>
        <xdr:cNvPr id="2" name="图片 1" descr=" "/>
        <xdr:cNvPicPr/>
      </xdr:nvPicPr>
      <xdr:blipFill>
        <a:blip r:embed="rId1"/>
        <a:srcRect/>
        <a:stretch>
          <a:fillRect/>
        </a:stretch>
      </xdr:blipFill>
      <xdr:spPr>
        <a:xfrm>
          <a:off x="14345285" y="30041850"/>
          <a:ext cx="3397250" cy="30734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3"/>
  <sheetViews>
    <sheetView topLeftCell="G52" workbookViewId="0">
      <selection activeCell="Z80" sqref="Z80"/>
    </sheetView>
  </sheetViews>
  <sheetFormatPr defaultColWidth="9" defaultRowHeight="14.25"/>
  <cols>
    <col min="2" max="3" width="12.6666666666667"/>
    <col min="14" max="19" width="12.6666666666667"/>
    <col min="20" max="20" width="12.6666666666667" style="5"/>
    <col min="21" max="21" width="12.6666666666667" style="6"/>
    <col min="22" max="22" width="12.9166666666667" style="6"/>
    <col min="23" max="24" width="12.6666666666667"/>
    <col min="25" max="25" width="11.6666666666667"/>
  </cols>
  <sheetData>
    <row r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5">
      <c r="A2" s="6" t="s">
        <v>1</v>
      </c>
      <c r="B2" s="6">
        <v>2000</v>
      </c>
      <c r="C2" s="6">
        <v>2001</v>
      </c>
      <c r="D2" s="6">
        <v>2002</v>
      </c>
      <c r="E2" s="6">
        <v>2003</v>
      </c>
      <c r="F2" s="6">
        <v>2004</v>
      </c>
      <c r="G2" s="6">
        <v>2005</v>
      </c>
      <c r="H2" s="6">
        <v>2006</v>
      </c>
      <c r="I2" s="6">
        <v>2007</v>
      </c>
      <c r="J2" s="6">
        <v>2008</v>
      </c>
      <c r="K2" s="6">
        <v>2009</v>
      </c>
      <c r="L2" s="6">
        <v>2010</v>
      </c>
      <c r="M2" s="6">
        <v>2011</v>
      </c>
      <c r="N2" s="6">
        <v>2012</v>
      </c>
      <c r="O2" s="6">
        <v>2013</v>
      </c>
      <c r="P2" s="6">
        <v>2014</v>
      </c>
      <c r="Q2" s="6">
        <v>2015</v>
      </c>
      <c r="R2" s="6">
        <v>2016</v>
      </c>
      <c r="S2" s="6">
        <v>2017</v>
      </c>
      <c r="T2" s="6">
        <v>2018</v>
      </c>
      <c r="U2" s="6">
        <v>2019</v>
      </c>
      <c r="V2" s="6">
        <v>2020</v>
      </c>
      <c r="W2" s="6">
        <v>2021</v>
      </c>
      <c r="X2">
        <v>2022</v>
      </c>
      <c r="Y2">
        <v>2023</v>
      </c>
    </row>
    <row r="3" spans="1:25">
      <c r="A3" s="4" t="s">
        <v>2</v>
      </c>
      <c r="B3" s="4">
        <v>1400.36</v>
      </c>
      <c r="C3" s="4">
        <v>1602.06</v>
      </c>
      <c r="D3" s="4">
        <v>1951.88</v>
      </c>
      <c r="E3" s="4">
        <v>2437.88</v>
      </c>
      <c r="F3" s="4">
        <v>2844.29</v>
      </c>
      <c r="G3" s="4">
        <v>3204.65</v>
      </c>
      <c r="H3" s="4">
        <v>3551.17</v>
      </c>
      <c r="I3" s="4">
        <v>4022.63</v>
      </c>
      <c r="J3" s="4">
        <v>3989.48</v>
      </c>
      <c r="K3" s="4">
        <v>4435.01</v>
      </c>
      <c r="L3" s="4">
        <v>5342.4</v>
      </c>
      <c r="M3" s="4">
        <v>5953.86</v>
      </c>
      <c r="N3" s="4">
        <v>7032.8</v>
      </c>
      <c r="O3" s="4">
        <v>7595.38</v>
      </c>
      <c r="P3" s="4">
        <v>7957.2</v>
      </c>
      <c r="Q3" s="4">
        <v>8155.36</v>
      </c>
      <c r="R3" s="4">
        <v>9716.05</v>
      </c>
      <c r="S3" s="4">
        <v>10375.27</v>
      </c>
      <c r="T3" s="4">
        <v>9804.63015</v>
      </c>
      <c r="U3" s="6">
        <v>9559.51439625</v>
      </c>
      <c r="V3" s="6">
        <v>9769.8237129675</v>
      </c>
      <c r="W3">
        <v>10248.5450749029</v>
      </c>
      <c r="X3">
        <v>10617.4926975994</v>
      </c>
      <c r="Y3">
        <v>11137.7498397818</v>
      </c>
    </row>
    <row r="4" spans="1:25">
      <c r="A4" s="4" t="s">
        <v>3</v>
      </c>
      <c r="B4" s="4">
        <v>695.1</v>
      </c>
      <c r="C4" s="4">
        <v>805.34</v>
      </c>
      <c r="D4" s="4">
        <v>926.65</v>
      </c>
      <c r="E4" s="4">
        <v>1180.54</v>
      </c>
      <c r="F4" s="4">
        <v>1446.49</v>
      </c>
      <c r="G4" s="4">
        <v>1739.4</v>
      </c>
      <c r="H4" s="4">
        <v>2087.24</v>
      </c>
      <c r="I4" s="4">
        <v>2615.09</v>
      </c>
      <c r="J4" s="4">
        <v>3594</v>
      </c>
      <c r="K4" s="4">
        <v>5077.89</v>
      </c>
      <c r="L4" s="4">
        <v>6468.54</v>
      </c>
      <c r="M4" s="4">
        <v>8069.94</v>
      </c>
      <c r="N4" s="4">
        <v>9314.76</v>
      </c>
      <c r="O4" s="4">
        <v>10438.83</v>
      </c>
      <c r="P4" s="4">
        <v>11337.95</v>
      </c>
      <c r="Q4" s="4">
        <v>10495.81</v>
      </c>
      <c r="R4" s="4">
        <v>10113.89</v>
      </c>
      <c r="S4" s="4">
        <v>10137.46</v>
      </c>
      <c r="T4" s="4">
        <v>9569.76224</v>
      </c>
      <c r="U4" s="6">
        <v>10823.40109344</v>
      </c>
      <c r="V4" s="6">
        <v>11148.1031262432</v>
      </c>
      <c r="W4">
        <v>11683.2120763029</v>
      </c>
      <c r="X4">
        <v>10526.5740807489</v>
      </c>
      <c r="Y4">
        <v>8800.21593150608</v>
      </c>
    </row>
    <row r="5" spans="1:25">
      <c r="A5" s="4" t="s">
        <v>4</v>
      </c>
      <c r="B5" s="4">
        <v>1846.29</v>
      </c>
      <c r="C5" s="4">
        <v>1947.6</v>
      </c>
      <c r="D5" s="4">
        <v>2058.08</v>
      </c>
      <c r="E5" s="4">
        <v>2512.48</v>
      </c>
      <c r="F5" s="4">
        <v>3279.73</v>
      </c>
      <c r="G5" s="4">
        <v>4329.96</v>
      </c>
      <c r="H5" s="4">
        <v>5073.21</v>
      </c>
      <c r="I5" s="4">
        <v>6165.64</v>
      </c>
      <c r="J5" s="4">
        <v>8306.05</v>
      </c>
      <c r="K5" s="4">
        <v>9390.15</v>
      </c>
      <c r="L5" s="4">
        <v>10791.59</v>
      </c>
      <c r="M5" s="4">
        <v>13688.75</v>
      </c>
      <c r="N5" s="4">
        <v>15087.91</v>
      </c>
      <c r="O5" s="4">
        <v>16167.13</v>
      </c>
      <c r="P5" s="4">
        <v>17064.67</v>
      </c>
      <c r="Q5" s="4">
        <v>17298.83</v>
      </c>
      <c r="R5" s="4">
        <v>18595.7</v>
      </c>
      <c r="S5" s="4">
        <v>19035.42</v>
      </c>
      <c r="T5" s="4">
        <v>20177.5452</v>
      </c>
      <c r="U5" s="6">
        <v>21489.085638</v>
      </c>
      <c r="V5" s="6">
        <v>22176.736378416</v>
      </c>
      <c r="W5">
        <v>22842.0384697685</v>
      </c>
      <c r="X5">
        <v>24646.5595088802</v>
      </c>
      <c r="Y5">
        <v>26199.2927579397</v>
      </c>
    </row>
    <row r="6" spans="1:25">
      <c r="A6" s="4" t="s">
        <v>5</v>
      </c>
      <c r="B6" s="4">
        <v>657.6</v>
      </c>
      <c r="C6" s="4">
        <v>743</v>
      </c>
      <c r="D6" s="4">
        <v>876.7</v>
      </c>
      <c r="E6" s="4">
        <v>1113.2</v>
      </c>
      <c r="F6" s="4">
        <v>1479.5</v>
      </c>
      <c r="G6" s="4">
        <v>1897.39</v>
      </c>
      <c r="H6" s="4">
        <v>2345.57</v>
      </c>
      <c r="I6" s="4">
        <v>2909.61</v>
      </c>
      <c r="J6" s="4">
        <v>3587.61</v>
      </c>
      <c r="K6" s="4">
        <v>4856.82</v>
      </c>
      <c r="L6" s="4">
        <v>5852.44</v>
      </c>
      <c r="M6" s="4">
        <v>7256.12</v>
      </c>
      <c r="N6" s="4">
        <v>7663.39</v>
      </c>
      <c r="O6" s="4">
        <v>8693.51</v>
      </c>
      <c r="P6" s="4">
        <v>8818.51</v>
      </c>
      <c r="Q6" s="4">
        <v>8821.58</v>
      </c>
      <c r="R6" s="4">
        <v>8369.36</v>
      </c>
      <c r="S6" s="4">
        <v>6700.09</v>
      </c>
      <c r="T6" s="4">
        <v>7081.99513</v>
      </c>
      <c r="U6" s="6">
        <v>7740.62067709</v>
      </c>
      <c r="V6" s="6">
        <v>8561.12646886154</v>
      </c>
      <c r="W6">
        <v>9305.94447165249</v>
      </c>
      <c r="X6">
        <v>9854.99519547999</v>
      </c>
      <c r="Y6">
        <v>9204.56551257831</v>
      </c>
    </row>
    <row r="7" spans="1:25">
      <c r="A7" s="4" t="s">
        <v>6</v>
      </c>
      <c r="B7" s="4">
        <v>439.42</v>
      </c>
      <c r="C7" s="4">
        <v>510.02</v>
      </c>
      <c r="D7" s="4">
        <v>729.37</v>
      </c>
      <c r="E7" s="4">
        <v>1228.26</v>
      </c>
      <c r="F7" s="4">
        <v>1817.73</v>
      </c>
      <c r="G7" s="4">
        <v>2685.22</v>
      </c>
      <c r="H7" s="4">
        <v>3353.88</v>
      </c>
      <c r="I7" s="4">
        <v>4356.39</v>
      </c>
      <c r="J7" s="4">
        <v>5522.72</v>
      </c>
      <c r="K7" s="4">
        <v>7425.16</v>
      </c>
      <c r="L7" s="4">
        <v>8938.69</v>
      </c>
      <c r="M7" s="4">
        <v>10837.14</v>
      </c>
      <c r="N7" s="4">
        <v>12954.33</v>
      </c>
      <c r="O7" s="4">
        <v>15287.13</v>
      </c>
      <c r="P7" s="4">
        <v>13453.88</v>
      </c>
      <c r="Q7" s="4">
        <v>13844.43</v>
      </c>
      <c r="R7" s="4">
        <v>12489.5</v>
      </c>
      <c r="S7" s="4">
        <v>10391.9</v>
      </c>
      <c r="T7" s="4">
        <v>7450.9923</v>
      </c>
      <c r="U7" s="6">
        <v>7950.2087841</v>
      </c>
      <c r="V7" s="6">
        <v>7830.9556523385</v>
      </c>
      <c r="W7">
        <v>8598.38930626767</v>
      </c>
      <c r="X7">
        <v>10111.7058241708</v>
      </c>
      <c r="Y7">
        <v>12113.8235773566</v>
      </c>
    </row>
    <row r="8" spans="1:25">
      <c r="A8" s="4" t="s">
        <v>7</v>
      </c>
      <c r="B8" s="4">
        <v>1293.92</v>
      </c>
      <c r="C8" s="4">
        <v>1444.15</v>
      </c>
      <c r="D8" s="4">
        <v>1627.56</v>
      </c>
      <c r="E8" s="4">
        <v>2102.1</v>
      </c>
      <c r="F8" s="4">
        <v>2925.14</v>
      </c>
      <c r="G8" s="4">
        <v>4279.75</v>
      </c>
      <c r="H8" s="4">
        <v>5272.12</v>
      </c>
      <c r="I8" s="4">
        <v>6297.19</v>
      </c>
      <c r="J8" s="4">
        <v>8098.6</v>
      </c>
      <c r="K8" s="4">
        <v>8906.44</v>
      </c>
      <c r="L8" s="4">
        <v>11079.59</v>
      </c>
      <c r="M8" s="4">
        <v>13474.62</v>
      </c>
      <c r="N8" s="4">
        <v>15049.6</v>
      </c>
      <c r="O8" s="4">
        <v>16479.8</v>
      </c>
      <c r="P8" s="4">
        <v>16927.43</v>
      </c>
      <c r="Q8" s="4">
        <v>12098.9</v>
      </c>
      <c r="R8" s="4">
        <v>9171.69</v>
      </c>
      <c r="S8" s="4">
        <v>9639.03</v>
      </c>
      <c r="T8" s="4">
        <v>9995.67411</v>
      </c>
      <c r="U8" s="6">
        <v>10025.66113233</v>
      </c>
      <c r="V8" s="6">
        <v>10286.3283217706</v>
      </c>
      <c r="W8">
        <v>10553.7728581366</v>
      </c>
      <c r="X8">
        <v>10933.7086810295</v>
      </c>
      <c r="Y8">
        <v>11371.0570282707</v>
      </c>
    </row>
    <row r="9" spans="1:25">
      <c r="A9" s="4" t="s">
        <v>8</v>
      </c>
      <c r="B9" s="4">
        <v>627.74</v>
      </c>
      <c r="C9" s="4">
        <v>699.65</v>
      </c>
      <c r="D9" s="4">
        <v>824.2</v>
      </c>
      <c r="E9" s="4">
        <v>998.1</v>
      </c>
      <c r="F9" s="4">
        <v>1291.89</v>
      </c>
      <c r="G9" s="4">
        <v>1802.41</v>
      </c>
      <c r="H9" s="4">
        <v>2804.29</v>
      </c>
      <c r="I9" s="4">
        <v>4003.18</v>
      </c>
      <c r="J9" s="4">
        <v>5608.3</v>
      </c>
      <c r="K9" s="4">
        <v>6280.53</v>
      </c>
      <c r="L9" s="4">
        <v>7618.06</v>
      </c>
      <c r="M9" s="4">
        <v>8355.53</v>
      </c>
      <c r="N9" s="4">
        <v>9234.98</v>
      </c>
      <c r="O9" s="4">
        <v>9751.49</v>
      </c>
      <c r="P9" s="4">
        <v>10372.65</v>
      </c>
      <c r="Q9" s="4">
        <v>11001.19</v>
      </c>
      <c r="R9" s="4">
        <v>10185.74</v>
      </c>
      <c r="S9" s="4">
        <v>10013.9</v>
      </c>
      <c r="T9" s="4">
        <v>10174.1224</v>
      </c>
      <c r="U9" s="6">
        <v>8525.9145712</v>
      </c>
      <c r="V9" s="6">
        <v>9233.5654806096</v>
      </c>
      <c r="W9">
        <v>10249.2576834767</v>
      </c>
      <c r="X9">
        <v>10003.2754990732</v>
      </c>
      <c r="Y9">
        <v>10033.2853255704</v>
      </c>
    </row>
    <row r="10" spans="1:25">
      <c r="A10" s="4" t="s">
        <v>9</v>
      </c>
      <c r="B10" s="4">
        <v>922.4</v>
      </c>
      <c r="C10" s="4">
        <v>1046.8</v>
      </c>
      <c r="D10" s="4">
        <v>1152.9</v>
      </c>
      <c r="E10" s="4">
        <v>1261.3</v>
      </c>
      <c r="F10" s="4">
        <v>1516.85</v>
      </c>
      <c r="G10" s="4">
        <v>1788.67</v>
      </c>
      <c r="H10" s="4">
        <v>2232.04</v>
      </c>
      <c r="I10" s="4">
        <v>2877.84</v>
      </c>
      <c r="J10" s="4">
        <v>3655.29</v>
      </c>
      <c r="K10" s="4">
        <v>4483.54</v>
      </c>
      <c r="L10" s="4">
        <v>5410.47</v>
      </c>
      <c r="M10" s="4">
        <v>6599.25</v>
      </c>
      <c r="N10" s="4">
        <v>7824.09</v>
      </c>
      <c r="O10" s="4">
        <v>9153.46</v>
      </c>
      <c r="P10" s="4">
        <v>9288</v>
      </c>
      <c r="Q10" s="4">
        <v>9664.1</v>
      </c>
      <c r="R10" s="4">
        <v>9151.41</v>
      </c>
      <c r="S10" s="4">
        <v>9651.36</v>
      </c>
      <c r="T10" s="4">
        <v>9197.74608</v>
      </c>
      <c r="U10" s="6">
        <v>9777.20408304</v>
      </c>
      <c r="V10" s="6">
        <v>10129.1834300294</v>
      </c>
      <c r="W10">
        <v>10777.4511695513</v>
      </c>
      <c r="X10">
        <v>10842.1158765686</v>
      </c>
      <c r="Y10">
        <v>9237.48272683645</v>
      </c>
    </row>
    <row r="11" spans="1:25">
      <c r="A11" s="4" t="s">
        <v>10</v>
      </c>
      <c r="B11" s="4">
        <v>1933.01</v>
      </c>
      <c r="C11" s="4">
        <v>2099.99</v>
      </c>
      <c r="D11" s="4">
        <v>2366.1</v>
      </c>
      <c r="E11" s="4">
        <v>2643.07</v>
      </c>
      <c r="F11" s="4">
        <v>3239.04</v>
      </c>
      <c r="G11" s="4">
        <v>3775.55</v>
      </c>
      <c r="H11" s="4">
        <v>4383.33</v>
      </c>
      <c r="I11" s="4">
        <v>5192.5</v>
      </c>
      <c r="J11" s="4">
        <v>5614.47</v>
      </c>
      <c r="K11" s="4">
        <v>6447.52</v>
      </c>
      <c r="L11" s="4">
        <v>6380.33</v>
      </c>
      <c r="M11" s="4">
        <v>6801.78</v>
      </c>
      <c r="N11" s="4">
        <v>7012.53</v>
      </c>
      <c r="O11" s="4">
        <v>7617.13</v>
      </c>
      <c r="P11" s="4">
        <v>8022.49</v>
      </c>
      <c r="Q11" s="4">
        <v>8999.87</v>
      </c>
      <c r="R11" s="4">
        <v>10631.37</v>
      </c>
      <c r="S11" s="4">
        <v>11507.19</v>
      </c>
      <c r="T11" s="4">
        <v>12105.56388</v>
      </c>
      <c r="U11" s="6">
        <v>12722.94763788</v>
      </c>
      <c r="V11" s="6">
        <v>14033.4112445816</v>
      </c>
      <c r="W11">
        <v>15156.0841441482</v>
      </c>
      <c r="X11">
        <v>15004.5233027067</v>
      </c>
      <c r="Y11">
        <v>17075.1475184802</v>
      </c>
    </row>
    <row r="12" spans="1:25">
      <c r="A12" s="4" t="s">
        <v>11</v>
      </c>
      <c r="B12" s="4">
        <v>3225.42</v>
      </c>
      <c r="C12" s="4">
        <v>3543.16</v>
      </c>
      <c r="D12" s="4">
        <v>3994.23</v>
      </c>
      <c r="E12" s="4">
        <v>5480.8</v>
      </c>
      <c r="F12" s="4">
        <v>6972.68</v>
      </c>
      <c r="G12" s="4">
        <v>8888.85</v>
      </c>
      <c r="H12" s="4">
        <v>10069.27</v>
      </c>
      <c r="I12" s="4">
        <v>11727.89</v>
      </c>
      <c r="J12" s="4">
        <v>14038.68</v>
      </c>
      <c r="K12" s="4">
        <v>17137.99</v>
      </c>
      <c r="L12" s="4">
        <v>20709.14</v>
      </c>
      <c r="M12" s="4">
        <v>24522.24</v>
      </c>
      <c r="N12" s="4">
        <v>26415.45</v>
      </c>
      <c r="O12" s="4">
        <v>27711.11</v>
      </c>
      <c r="P12" s="4">
        <v>28796.18</v>
      </c>
      <c r="Q12" s="4">
        <v>29940.82</v>
      </c>
      <c r="R12" s="4">
        <v>32254.56</v>
      </c>
      <c r="S12" s="4">
        <v>36416.79</v>
      </c>
      <c r="T12" s="4">
        <v>38419.71345</v>
      </c>
      <c r="U12" s="6">
        <v>40379.11883595</v>
      </c>
      <c r="V12" s="6">
        <v>40500.2561924578</v>
      </c>
      <c r="W12">
        <v>42849.2710516204</v>
      </c>
      <c r="X12">
        <v>44477.543351582</v>
      </c>
      <c r="Y12">
        <v>46790.3756058643</v>
      </c>
    </row>
    <row r="13" spans="1:25">
      <c r="A13" s="4" t="s">
        <v>12</v>
      </c>
      <c r="B13" s="4">
        <v>2267.2</v>
      </c>
      <c r="C13" s="4">
        <v>2645.4</v>
      </c>
      <c r="D13" s="4">
        <v>3255.13</v>
      </c>
      <c r="E13" s="4">
        <v>4479.98</v>
      </c>
      <c r="F13" s="4">
        <v>5563.87</v>
      </c>
      <c r="G13" s="4">
        <v>6269.16</v>
      </c>
      <c r="H13" s="4">
        <v>7065.65</v>
      </c>
      <c r="I13" s="4">
        <v>7992.86</v>
      </c>
      <c r="J13" s="4">
        <v>8798.01</v>
      </c>
      <c r="K13" s="4">
        <v>10220.13</v>
      </c>
      <c r="L13" s="4">
        <v>12101.32</v>
      </c>
      <c r="M13" s="4">
        <v>13822.9</v>
      </c>
      <c r="N13" s="4">
        <v>14607.57</v>
      </c>
      <c r="O13" s="4">
        <v>16139.7</v>
      </c>
      <c r="P13" s="4">
        <v>17000.91</v>
      </c>
      <c r="Q13" s="4">
        <v>18213.27</v>
      </c>
      <c r="R13" s="4">
        <v>20677.81</v>
      </c>
      <c r="S13" s="4">
        <v>21861.53</v>
      </c>
      <c r="T13" s="4">
        <v>23413.69863</v>
      </c>
      <c r="U13" s="6">
        <v>25755.068493</v>
      </c>
      <c r="V13" s="6">
        <v>27145.842191622</v>
      </c>
      <c r="W13">
        <v>30077.5931483172</v>
      </c>
      <c r="X13">
        <v>32814.654124814</v>
      </c>
      <c r="Y13">
        <v>34816.3480264277</v>
      </c>
    </row>
    <row r="14" spans="1:25">
      <c r="A14" s="4" t="s">
        <v>13</v>
      </c>
      <c r="B14" s="4">
        <v>928.09</v>
      </c>
      <c r="C14" s="4">
        <v>1012.31</v>
      </c>
      <c r="D14" s="4">
        <v>1138.2</v>
      </c>
      <c r="E14" s="4">
        <v>1362.18</v>
      </c>
      <c r="F14" s="4">
        <v>1877.75</v>
      </c>
      <c r="G14" s="4">
        <v>2214.1</v>
      </c>
      <c r="H14" s="4">
        <v>2656.9</v>
      </c>
      <c r="I14" s="4">
        <v>3344.78</v>
      </c>
      <c r="J14" s="4">
        <v>4229.64</v>
      </c>
      <c r="K14" s="4">
        <v>4820.46</v>
      </c>
      <c r="L14" s="4">
        <v>6061.09</v>
      </c>
      <c r="M14" s="4">
        <v>7594.37</v>
      </c>
      <c r="N14" s="4">
        <v>8680.9</v>
      </c>
      <c r="O14" s="4">
        <v>9739.11</v>
      </c>
      <c r="P14" s="4">
        <v>10723.84</v>
      </c>
      <c r="Q14" s="4">
        <v>11106.51</v>
      </c>
      <c r="R14" s="4">
        <v>12345.14</v>
      </c>
      <c r="S14" s="4">
        <v>13569.15</v>
      </c>
      <c r="T14" s="4">
        <v>15170.3097</v>
      </c>
      <c r="U14" s="6">
        <v>16565.9781924</v>
      </c>
      <c r="V14" s="6">
        <v>17410.8430802124</v>
      </c>
      <c r="W14">
        <v>19047.4623297524</v>
      </c>
      <c r="X14">
        <v>20761.7339394301</v>
      </c>
      <c r="Y14">
        <v>21592.2032970073</v>
      </c>
    </row>
    <row r="15" spans="1:25">
      <c r="A15" s="4" t="s">
        <v>14</v>
      </c>
      <c r="B15" s="4">
        <v>1216.91</v>
      </c>
      <c r="C15" s="4">
        <v>1269.93</v>
      </c>
      <c r="D15" s="4">
        <v>1383.54</v>
      </c>
      <c r="E15" s="4">
        <v>1672.63</v>
      </c>
      <c r="F15" s="4">
        <v>2100.48</v>
      </c>
      <c r="G15" s="4">
        <v>2654.95</v>
      </c>
      <c r="H15" s="4">
        <v>3310.15</v>
      </c>
      <c r="I15" s="4">
        <v>4344.88</v>
      </c>
      <c r="J15" s="4">
        <v>5601.36</v>
      </c>
      <c r="K15" s="4">
        <v>6438.28</v>
      </c>
      <c r="L15" s="4">
        <v>7341.57</v>
      </c>
      <c r="M15" s="4">
        <v>9060.53</v>
      </c>
      <c r="N15" s="4">
        <v>10270.16</v>
      </c>
      <c r="O15" s="4">
        <v>11678.58</v>
      </c>
      <c r="P15" s="4">
        <v>13038.04</v>
      </c>
      <c r="Q15" s="4">
        <v>14140.3</v>
      </c>
      <c r="R15" s="4">
        <v>15576.09</v>
      </c>
      <c r="S15" s="4">
        <v>17637.87</v>
      </c>
      <c r="T15" s="4">
        <v>19666.22505</v>
      </c>
      <c r="U15" s="6">
        <v>20826.53232795</v>
      </c>
      <c r="V15" s="6">
        <v>20743.2261986382</v>
      </c>
      <c r="W15">
        <v>21987.8197705565</v>
      </c>
      <c r="X15">
        <v>23636.9062533482</v>
      </c>
      <c r="Y15">
        <v>24227.8289096819</v>
      </c>
    </row>
    <row r="16" spans="1:25">
      <c r="A16" s="4" t="s">
        <v>15</v>
      </c>
      <c r="B16" s="4">
        <v>605.54</v>
      </c>
      <c r="C16" s="4">
        <v>696.7</v>
      </c>
      <c r="D16" s="4">
        <v>931.8</v>
      </c>
      <c r="E16" s="4">
        <v>1269.92</v>
      </c>
      <c r="F16" s="4">
        <v>1633.53</v>
      </c>
      <c r="G16" s="4">
        <v>1922.1</v>
      </c>
      <c r="H16" s="4">
        <v>2422.06</v>
      </c>
      <c r="I16" s="4">
        <v>2982.33</v>
      </c>
      <c r="J16" s="4">
        <v>3675.71</v>
      </c>
      <c r="K16" s="4">
        <v>4082.63</v>
      </c>
      <c r="L16" s="4">
        <v>4740.28</v>
      </c>
      <c r="M16" s="4">
        <v>5785.75</v>
      </c>
      <c r="N16" s="4">
        <v>6301.13</v>
      </c>
      <c r="O16" s="4">
        <v>6774.22</v>
      </c>
      <c r="P16" s="4">
        <v>6876.92</v>
      </c>
      <c r="Q16" s="4">
        <v>7706</v>
      </c>
      <c r="R16" s="4">
        <v>9029.49</v>
      </c>
      <c r="S16" s="4">
        <v>9738.41</v>
      </c>
      <c r="T16" s="4">
        <v>10819.37351</v>
      </c>
      <c r="U16" s="6">
        <v>11814.75587292</v>
      </c>
      <c r="V16" s="6">
        <v>12783.5658544994</v>
      </c>
      <c r="W16">
        <v>14164.1909667854</v>
      </c>
      <c r="X16">
        <v>15382.3113899289</v>
      </c>
      <c r="Y16">
        <v>14474.7550179231</v>
      </c>
    </row>
    <row r="17" spans="1:25">
      <c r="A17" s="4" t="s">
        <v>16</v>
      </c>
      <c r="B17" s="4">
        <v>3159.03</v>
      </c>
      <c r="C17" s="4">
        <v>3518.25</v>
      </c>
      <c r="D17" s="4">
        <v>4192.58</v>
      </c>
      <c r="E17" s="4">
        <v>5180.82</v>
      </c>
      <c r="F17" s="4">
        <v>6896.07</v>
      </c>
      <c r="G17" s="4">
        <v>8974.77</v>
      </c>
      <c r="H17" s="4">
        <v>10829.36</v>
      </c>
      <c r="I17" s="4">
        <v>12505.88</v>
      </c>
      <c r="J17" s="4">
        <v>15035.08</v>
      </c>
      <c r="K17" s="4">
        <v>17734.43</v>
      </c>
      <c r="L17" s="4">
        <v>20800.55</v>
      </c>
      <c r="M17" s="4">
        <v>24281.22</v>
      </c>
      <c r="N17" s="4">
        <v>26808.85</v>
      </c>
      <c r="O17" s="4">
        <v>29249.45</v>
      </c>
      <c r="P17" s="4">
        <v>31647.07</v>
      </c>
      <c r="Q17" s="4">
        <v>33229.42</v>
      </c>
      <c r="R17" s="4">
        <v>33548.68</v>
      </c>
      <c r="S17" s="4">
        <v>34703.97</v>
      </c>
      <c r="T17" s="4">
        <v>36126.83277</v>
      </c>
      <c r="U17" s="6">
        <v>33164.43248286</v>
      </c>
      <c r="V17" s="6">
        <v>34358.352052243</v>
      </c>
      <c r="W17">
        <v>36419.8531753775</v>
      </c>
      <c r="X17">
        <v>38641.4642190756</v>
      </c>
      <c r="Y17">
        <v>40650.8203584675</v>
      </c>
    </row>
    <row r="18" spans="1:25">
      <c r="A18" s="4" t="s">
        <v>17</v>
      </c>
      <c r="B18" s="4">
        <v>1641.43</v>
      </c>
      <c r="C18" s="4">
        <v>1790.76</v>
      </c>
      <c r="D18" s="4">
        <v>2018.58</v>
      </c>
      <c r="E18" s="4">
        <v>2431.76</v>
      </c>
      <c r="F18" s="4">
        <v>3217.1</v>
      </c>
      <c r="G18" s="4">
        <v>4506.75</v>
      </c>
      <c r="H18" s="4">
        <v>6001.5</v>
      </c>
      <c r="I18" s="4">
        <v>8043.35</v>
      </c>
      <c r="J18" s="4">
        <v>10301.66</v>
      </c>
      <c r="K18" s="4">
        <v>12996.08</v>
      </c>
      <c r="L18" s="4">
        <v>15704.09</v>
      </c>
      <c r="M18" s="4">
        <v>18819.16</v>
      </c>
      <c r="N18" s="4">
        <v>21667.75</v>
      </c>
      <c r="O18" s="4">
        <v>24376.04</v>
      </c>
      <c r="P18" s="4">
        <v>26655.78</v>
      </c>
      <c r="Q18" s="4">
        <v>27722.49</v>
      </c>
      <c r="R18" s="4">
        <v>29595.12</v>
      </c>
      <c r="S18" s="4">
        <v>30415.27</v>
      </c>
      <c r="T18" s="4">
        <v>32878.90687</v>
      </c>
      <c r="U18" s="6">
        <v>35509.2194196</v>
      </c>
      <c r="V18" s="6">
        <v>37036.1158546428</v>
      </c>
      <c r="W18">
        <v>38702.7410681017</v>
      </c>
      <c r="X18">
        <v>41295.8247196645</v>
      </c>
      <c r="Y18">
        <v>42163.0370387775</v>
      </c>
    </row>
    <row r="19" spans="1:25">
      <c r="A19" s="4" t="s">
        <v>18</v>
      </c>
      <c r="B19" s="4">
        <v>1451.85</v>
      </c>
      <c r="C19" s="4">
        <v>1610.93</v>
      </c>
      <c r="D19" s="4">
        <v>1699.78</v>
      </c>
      <c r="E19" s="4">
        <v>1875.78</v>
      </c>
      <c r="F19" s="4">
        <v>2325.87</v>
      </c>
      <c r="G19" s="4">
        <v>2804.01</v>
      </c>
      <c r="H19" s="4">
        <v>3555.21</v>
      </c>
      <c r="I19" s="4">
        <v>4371.14</v>
      </c>
      <c r="J19" s="4">
        <v>5368.99</v>
      </c>
      <c r="K19" s="4">
        <v>6612.85</v>
      </c>
      <c r="L19" s="4">
        <v>8200.4</v>
      </c>
      <c r="M19" s="4">
        <v>10597.82</v>
      </c>
      <c r="N19" s="4">
        <v>12064.75</v>
      </c>
      <c r="O19" s="4">
        <v>13701.86</v>
      </c>
      <c r="P19" s="4">
        <v>15442.86</v>
      </c>
      <c r="Q19" s="4">
        <v>16757.35</v>
      </c>
      <c r="R19" s="4">
        <v>18515.84</v>
      </c>
      <c r="S19" s="4">
        <v>20586.51</v>
      </c>
      <c r="T19" s="4">
        <v>22851.0261</v>
      </c>
      <c r="U19" s="6">
        <v>25296.0858927</v>
      </c>
      <c r="V19" s="6">
        <v>20540.4217448724</v>
      </c>
      <c r="W19">
        <v>24730.6677808264</v>
      </c>
      <c r="X19">
        <v>28440.2679479503</v>
      </c>
      <c r="Y19">
        <v>29862.2813453478</v>
      </c>
    </row>
    <row r="20" spans="1:25">
      <c r="A20" s="4" t="s">
        <v>19</v>
      </c>
      <c r="B20" s="4">
        <v>1082</v>
      </c>
      <c r="C20" s="4">
        <v>1233.17</v>
      </c>
      <c r="D20" s="4">
        <v>1380.89</v>
      </c>
      <c r="E20" s="4">
        <v>1613.12</v>
      </c>
      <c r="F20" s="4">
        <v>1978.31</v>
      </c>
      <c r="G20" s="4">
        <v>2520.38</v>
      </c>
      <c r="H20" s="4">
        <v>3159.17</v>
      </c>
      <c r="I20" s="4">
        <v>4194.92</v>
      </c>
      <c r="J20" s="4">
        <v>5571.61</v>
      </c>
      <c r="K20" s="4">
        <v>6666.8</v>
      </c>
      <c r="L20" s="4">
        <v>8568.77</v>
      </c>
      <c r="M20" s="4">
        <v>10487.26</v>
      </c>
      <c r="N20" s="4">
        <v>11990.65</v>
      </c>
      <c r="O20" s="4">
        <v>13573.85</v>
      </c>
      <c r="P20" s="4">
        <v>15139.68</v>
      </c>
      <c r="Q20" s="4">
        <v>15085</v>
      </c>
      <c r="R20" s="4">
        <v>16477.36</v>
      </c>
      <c r="S20" s="4">
        <v>17159.52</v>
      </c>
      <c r="T20" s="4">
        <v>18875.472</v>
      </c>
      <c r="U20" s="6">
        <v>20781.894672</v>
      </c>
      <c r="V20" s="6">
        <v>22361.318667072</v>
      </c>
      <c r="W20">
        <v>24150.2241604378</v>
      </c>
      <c r="X20">
        <v>25744.1389550267</v>
      </c>
      <c r="Y20">
        <v>24946.0706474209</v>
      </c>
    </row>
    <row r="21" spans="1:25">
      <c r="A21" s="4" t="s">
        <v>20</v>
      </c>
      <c r="B21" s="4">
        <v>3093.82</v>
      </c>
      <c r="C21" s="4">
        <v>3447.52</v>
      </c>
      <c r="D21" s="4">
        <v>4023.73</v>
      </c>
      <c r="E21" s="4">
        <v>4986.53</v>
      </c>
      <c r="F21" s="4">
        <v>5957.86</v>
      </c>
      <c r="G21" s="4">
        <v>7418.23</v>
      </c>
      <c r="H21" s="4">
        <v>8489.71</v>
      </c>
      <c r="I21" s="4">
        <v>9964.01</v>
      </c>
      <c r="J21" s="4">
        <v>11471.36</v>
      </c>
      <c r="K21" s="4">
        <v>14025.08</v>
      </c>
      <c r="L21" s="4">
        <v>16515.11</v>
      </c>
      <c r="M21" s="4">
        <v>19432.79</v>
      </c>
      <c r="N21" s="4">
        <v>22033.82</v>
      </c>
      <c r="O21" s="4">
        <v>24997.73</v>
      </c>
      <c r="P21" s="4">
        <v>27930.81</v>
      </c>
      <c r="Q21" s="4">
        <v>29250.44</v>
      </c>
      <c r="R21" s="4">
        <v>33279.65</v>
      </c>
      <c r="S21" s="4">
        <v>38390.85</v>
      </c>
      <c r="T21" s="4">
        <v>42498.67095</v>
      </c>
      <c r="U21" s="6">
        <v>47216.02342545</v>
      </c>
      <c r="V21" s="6">
        <v>50615.5771120824</v>
      </c>
      <c r="W21">
        <v>53804.3584701436</v>
      </c>
      <c r="X21">
        <v>52405.4451499199</v>
      </c>
      <c r="Y21">
        <v>53715.5812786679</v>
      </c>
    </row>
    <row r="22" spans="1:25">
      <c r="A22" s="4" t="s">
        <v>21</v>
      </c>
      <c r="B22" s="4">
        <v>670.65</v>
      </c>
      <c r="C22" s="4">
        <v>735.56</v>
      </c>
      <c r="D22" s="4">
        <v>842.72</v>
      </c>
      <c r="E22" s="4">
        <v>990.71</v>
      </c>
      <c r="F22" s="4">
        <v>1296.55</v>
      </c>
      <c r="G22" s="4">
        <v>1749.87</v>
      </c>
      <c r="H22" s="4">
        <v>2141.72</v>
      </c>
      <c r="I22" s="4">
        <v>2791.97</v>
      </c>
      <c r="J22" s="4">
        <v>3762.7</v>
      </c>
      <c r="K22" s="4">
        <v>5533.23</v>
      </c>
      <c r="L22" s="4">
        <v>7785.5</v>
      </c>
      <c r="M22" s="4">
        <v>9745.72</v>
      </c>
      <c r="N22" s="4">
        <v>10547.35</v>
      </c>
      <c r="O22" s="4">
        <v>9725.64</v>
      </c>
      <c r="P22" s="4">
        <v>10463.07</v>
      </c>
      <c r="Q22" s="4">
        <v>11264.65</v>
      </c>
      <c r="R22" s="4">
        <v>12114.06</v>
      </c>
      <c r="S22" s="4">
        <v>9034.54</v>
      </c>
      <c r="T22" s="4">
        <v>10010.27032</v>
      </c>
      <c r="U22" s="6">
        <v>10971.25627072</v>
      </c>
      <c r="V22" s="6">
        <v>11432.0490340902</v>
      </c>
      <c r="W22">
        <v>12300.8847606811</v>
      </c>
      <c r="X22">
        <v>12313.1856454418</v>
      </c>
      <c r="Y22">
        <v>10404.6418703983</v>
      </c>
    </row>
    <row r="23" spans="1:25">
      <c r="A23" s="4" t="s">
        <v>22</v>
      </c>
      <c r="B23" s="4">
        <v>198</v>
      </c>
      <c r="C23" s="4">
        <v>208.18</v>
      </c>
      <c r="D23" s="4">
        <v>227.5</v>
      </c>
      <c r="E23" s="4">
        <v>265.55</v>
      </c>
      <c r="F23" s="4">
        <v>311.05</v>
      </c>
      <c r="G23" s="4">
        <v>375.58</v>
      </c>
      <c r="H23" s="4">
        <v>445.51</v>
      </c>
      <c r="I23" s="4">
        <v>552.37</v>
      </c>
      <c r="J23" s="4">
        <v>771.9</v>
      </c>
      <c r="K23" s="4">
        <v>871.91</v>
      </c>
      <c r="L23" s="4">
        <v>1179.36</v>
      </c>
      <c r="M23" s="4">
        <v>1460.47</v>
      </c>
      <c r="N23" s="4">
        <v>1947.87</v>
      </c>
      <c r="O23" s="4">
        <v>2233.46</v>
      </c>
      <c r="P23" s="4">
        <v>2549.33</v>
      </c>
      <c r="Q23" s="4">
        <v>2325.12</v>
      </c>
      <c r="R23" s="4">
        <v>2519.06</v>
      </c>
      <c r="S23" s="4">
        <v>2808.53</v>
      </c>
      <c r="T23" s="4">
        <v>2457.46375</v>
      </c>
      <c r="U23" s="6">
        <v>2231.377085</v>
      </c>
      <c r="V23" s="6">
        <v>2409.8872518</v>
      </c>
      <c r="W23">
        <v>2655.6957514836</v>
      </c>
      <c r="X23">
        <v>2544.15652992129</v>
      </c>
      <c r="Y23">
        <v>2572.14225175042</v>
      </c>
    </row>
    <row r="24" spans="1:25">
      <c r="A24" s="4" t="s">
        <v>23</v>
      </c>
      <c r="B24" s="4">
        <v>628.01</v>
      </c>
      <c r="C24" s="4">
        <v>751.66</v>
      </c>
      <c r="D24" s="4">
        <v>918.92</v>
      </c>
      <c r="E24" s="4">
        <v>1220.6</v>
      </c>
      <c r="F24" s="4">
        <v>1515.61</v>
      </c>
      <c r="G24" s="4">
        <v>1862.65</v>
      </c>
      <c r="H24" s="4">
        <v>2138.2</v>
      </c>
      <c r="I24" s="4">
        <v>2557.86</v>
      </c>
      <c r="J24" s="4">
        <v>3059.89</v>
      </c>
      <c r="K24" s="4">
        <v>3633.22</v>
      </c>
      <c r="L24" s="4">
        <v>4379.26</v>
      </c>
      <c r="M24" s="4">
        <v>5511.24</v>
      </c>
      <c r="N24" s="4">
        <v>6041.15</v>
      </c>
      <c r="O24" s="4">
        <v>6646.79</v>
      </c>
      <c r="P24" s="4">
        <v>7380.94</v>
      </c>
      <c r="Q24" s="4">
        <v>8042.53</v>
      </c>
      <c r="R24" s="4">
        <v>9114.89</v>
      </c>
      <c r="S24" s="4">
        <v>9907.32</v>
      </c>
      <c r="T24" s="4">
        <v>10600.8324</v>
      </c>
      <c r="U24" s="6">
        <v>11194.4790144</v>
      </c>
      <c r="V24" s="6">
        <v>11631.0636959616</v>
      </c>
      <c r="W24">
        <v>12340.5585814153</v>
      </c>
      <c r="X24">
        <v>12426.9424914852</v>
      </c>
      <c r="Y24">
        <v>12961.3010186191</v>
      </c>
    </row>
    <row r="25" spans="1:25">
      <c r="A25" s="4" t="s">
        <v>24</v>
      </c>
      <c r="B25" s="4">
        <v>1400.69</v>
      </c>
      <c r="C25" s="4">
        <v>1570.89</v>
      </c>
      <c r="D25" s="4">
        <v>1801.06</v>
      </c>
      <c r="E25" s="4">
        <v>2145.07</v>
      </c>
      <c r="F25" s="4">
        <v>2587.14</v>
      </c>
      <c r="G25" s="4">
        <v>3179.92</v>
      </c>
      <c r="H25" s="4">
        <v>4040.03</v>
      </c>
      <c r="I25" s="4">
        <v>5060.57</v>
      </c>
      <c r="J25" s="4">
        <v>6352.86</v>
      </c>
      <c r="K25" s="4">
        <v>7464.2</v>
      </c>
      <c r="L25" s="4">
        <v>8911.05</v>
      </c>
      <c r="M25" s="4">
        <v>10691.3</v>
      </c>
      <c r="N25" s="4">
        <v>12096.2</v>
      </c>
      <c r="O25" s="4">
        <v>13081.7</v>
      </c>
      <c r="P25" s="4">
        <v>13990.55</v>
      </c>
      <c r="Q25" s="4">
        <v>14415.31</v>
      </c>
      <c r="R25" s="4">
        <v>15800.46</v>
      </c>
      <c r="S25" s="4">
        <v>17689.34</v>
      </c>
      <c r="T25" s="4">
        <v>19493.65268</v>
      </c>
      <c r="U25" s="6">
        <v>21170.10681048</v>
      </c>
      <c r="V25" s="6">
        <v>21762.8698011734</v>
      </c>
      <c r="W25">
        <v>23046.8791194427</v>
      </c>
      <c r="X25">
        <v>24429.6918666092</v>
      </c>
      <c r="Y25">
        <v>25016.0044714078</v>
      </c>
    </row>
    <row r="26" spans="1:25">
      <c r="A26" s="4" t="s">
        <v>25</v>
      </c>
      <c r="B26" s="4">
        <v>456.26</v>
      </c>
      <c r="C26" s="4">
        <v>575.89</v>
      </c>
      <c r="D26" s="4">
        <v>663.89</v>
      </c>
      <c r="E26" s="4">
        <v>768.76</v>
      </c>
      <c r="F26" s="4">
        <v>871.46</v>
      </c>
      <c r="G26" s="4">
        <v>996.64</v>
      </c>
      <c r="H26" s="4">
        <v>1153.87</v>
      </c>
      <c r="I26" s="4">
        <v>1363.42</v>
      </c>
      <c r="J26" s="4">
        <v>1691.89</v>
      </c>
      <c r="K26" s="4">
        <v>2046.84</v>
      </c>
      <c r="L26" s="4">
        <v>2510.39</v>
      </c>
      <c r="M26" s="4">
        <v>3147.46</v>
      </c>
      <c r="N26" s="4">
        <v>4067.26</v>
      </c>
      <c r="O26" s="4">
        <v>5141.75</v>
      </c>
      <c r="P26" s="4">
        <v>5928.8</v>
      </c>
      <c r="Q26" s="4">
        <v>6913.85</v>
      </c>
      <c r="R26" s="4">
        <v>7975.49</v>
      </c>
      <c r="S26" s="4">
        <v>9085.81</v>
      </c>
      <c r="T26" s="4">
        <v>10521.36798</v>
      </c>
      <c r="U26" s="6">
        <v>10616.06029182</v>
      </c>
      <c r="V26" s="6">
        <v>10955.7742211582</v>
      </c>
      <c r="W26">
        <v>10616.1452203023</v>
      </c>
      <c r="X26">
        <v>10074.7218140669</v>
      </c>
      <c r="Y26">
        <v>9500.46267066509</v>
      </c>
    </row>
    <row r="27" spans="1:25">
      <c r="A27" s="4" t="s">
        <v>26</v>
      </c>
      <c r="B27" s="4">
        <v>722.27</v>
      </c>
      <c r="C27" s="4">
        <v>770.2</v>
      </c>
      <c r="D27" s="4">
        <v>860.67</v>
      </c>
      <c r="E27" s="4">
        <v>1068.51</v>
      </c>
      <c r="F27" s="4">
        <v>1352.78</v>
      </c>
      <c r="G27" s="4">
        <v>1564.23</v>
      </c>
      <c r="H27" s="4">
        <v>1795.88</v>
      </c>
      <c r="I27" s="4">
        <v>2063.58</v>
      </c>
      <c r="J27" s="4">
        <v>2302.17</v>
      </c>
      <c r="K27" s="4">
        <v>3502.42</v>
      </c>
      <c r="L27" s="4">
        <v>5213.05</v>
      </c>
      <c r="M27" s="4">
        <v>6678.17</v>
      </c>
      <c r="N27" s="4">
        <v>7949.51</v>
      </c>
      <c r="O27" s="4">
        <v>9311.13</v>
      </c>
      <c r="P27" s="4">
        <v>10918.83</v>
      </c>
      <c r="Q27" s="4">
        <v>12080.1</v>
      </c>
      <c r="R27" s="4">
        <v>13321.13</v>
      </c>
      <c r="S27" s="4">
        <v>14825.48</v>
      </c>
      <c r="T27" s="4">
        <v>16545.23568</v>
      </c>
      <c r="U27" s="6">
        <v>17951.5807128</v>
      </c>
      <c r="V27" s="6">
        <v>19333.8524276856</v>
      </c>
      <c r="W27">
        <v>20107.206524793</v>
      </c>
      <c r="X27">
        <v>21615.2470141525</v>
      </c>
      <c r="Y27">
        <v>19324.0308306523</v>
      </c>
    </row>
    <row r="28" spans="1:25">
      <c r="A28" s="4" t="s">
        <v>27</v>
      </c>
      <c r="B28" s="4">
        <v>796.2</v>
      </c>
      <c r="C28" s="4">
        <v>887.2</v>
      </c>
      <c r="D28" s="4">
        <v>1016.9</v>
      </c>
      <c r="E28" s="4">
        <v>1231.9</v>
      </c>
      <c r="F28" s="4">
        <v>1471.31</v>
      </c>
      <c r="G28" s="4">
        <v>1936.45</v>
      </c>
      <c r="H28" s="4">
        <v>2430.22</v>
      </c>
      <c r="I28" s="4">
        <v>3289.1</v>
      </c>
      <c r="J28" s="4">
        <v>4400.56</v>
      </c>
      <c r="K28" s="4">
        <v>5270.28</v>
      </c>
      <c r="L28" s="4">
        <v>6851.53</v>
      </c>
      <c r="M28" s="4">
        <v>8190.19</v>
      </c>
      <c r="N28" s="4">
        <v>9700.12</v>
      </c>
      <c r="O28" s="4">
        <v>10779.46</v>
      </c>
      <c r="P28" s="4">
        <v>11783.73</v>
      </c>
      <c r="Q28" s="4">
        <v>11662.79</v>
      </c>
      <c r="R28" s="4">
        <v>12584.82</v>
      </c>
      <c r="S28" s="4">
        <v>14144.08</v>
      </c>
      <c r="T28" s="4">
        <v>15615.06432</v>
      </c>
      <c r="U28" s="6">
        <v>16005.440928</v>
      </c>
      <c r="V28" s="6">
        <v>16661.664006048</v>
      </c>
      <c r="W28">
        <v>16161.8140858666</v>
      </c>
      <c r="X28">
        <v>17470.9210268217</v>
      </c>
      <c r="Y28">
        <v>17505.8628688753</v>
      </c>
    </row>
    <row r="29" spans="1:25">
      <c r="A29" s="4" t="s">
        <v>28</v>
      </c>
      <c r="B29" s="4">
        <v>373.9</v>
      </c>
      <c r="C29" s="4">
        <v>463.13</v>
      </c>
      <c r="D29" s="4">
        <v>534.75</v>
      </c>
      <c r="E29" s="4">
        <v>617.62</v>
      </c>
      <c r="F29" s="4">
        <v>756.02</v>
      </c>
      <c r="G29" s="4">
        <v>874.52</v>
      </c>
      <c r="H29" s="4">
        <v>1027.78</v>
      </c>
      <c r="I29" s="4">
        <v>1221.96</v>
      </c>
      <c r="J29" s="4">
        <v>1493.47</v>
      </c>
      <c r="K29" s="4">
        <v>1788.34</v>
      </c>
      <c r="L29" s="4">
        <v>2177.89</v>
      </c>
      <c r="M29" s="4">
        <v>2685.76</v>
      </c>
      <c r="N29" s="4">
        <v>3128.68</v>
      </c>
      <c r="O29" s="4">
        <v>3649.14</v>
      </c>
      <c r="P29" s="4">
        <v>4116.72</v>
      </c>
      <c r="Q29" s="4">
        <v>4412.26</v>
      </c>
      <c r="R29" s="4">
        <v>4894.02</v>
      </c>
      <c r="S29" s="4">
        <v>3557.06</v>
      </c>
      <c r="T29" s="4">
        <v>3418.33466</v>
      </c>
      <c r="U29" s="6">
        <v>3643.94474756</v>
      </c>
      <c r="V29" s="6">
        <v>3928.17243786968</v>
      </c>
      <c r="W29">
        <v>4364.19957847322</v>
      </c>
      <c r="X29">
        <v>4804.98373589901</v>
      </c>
      <c r="Y29">
        <v>5088.47777631705</v>
      </c>
    </row>
    <row r="30" spans="1:25">
      <c r="A30" s="4" t="s">
        <v>29</v>
      </c>
      <c r="B30" s="4">
        <v>156.97</v>
      </c>
      <c r="C30" s="4">
        <v>202.17</v>
      </c>
      <c r="D30" s="4">
        <v>244</v>
      </c>
      <c r="E30" s="4">
        <v>282.18</v>
      </c>
      <c r="F30" s="4">
        <v>314.93</v>
      </c>
      <c r="G30" s="4">
        <v>364.08</v>
      </c>
      <c r="H30" s="4">
        <v>411.68</v>
      </c>
      <c r="I30" s="4">
        <v>480.43</v>
      </c>
      <c r="J30" s="4">
        <v>583.2</v>
      </c>
      <c r="K30" s="4">
        <v>791.8</v>
      </c>
      <c r="L30" s="4">
        <v>1057.86</v>
      </c>
      <c r="M30" s="4">
        <v>1369.9</v>
      </c>
      <c r="N30" s="4">
        <v>1895.7</v>
      </c>
      <c r="O30" s="4">
        <v>2418.27</v>
      </c>
      <c r="P30" s="4">
        <v>2953.52</v>
      </c>
      <c r="Q30" s="4">
        <v>3303.61</v>
      </c>
      <c r="R30" s="4">
        <v>3551.9</v>
      </c>
      <c r="S30" s="4">
        <v>3918.34</v>
      </c>
      <c r="T30" s="4">
        <v>4204.37882</v>
      </c>
      <c r="U30" s="6">
        <v>4414.597761</v>
      </c>
      <c r="V30" s="6">
        <v>3876.016834158</v>
      </c>
      <c r="W30">
        <v>3763.61234596742</v>
      </c>
      <c r="X30">
        <v>3477.57780767389</v>
      </c>
      <c r="Y30">
        <v>3216.75947209835</v>
      </c>
    </row>
    <row r="31" spans="1:25">
      <c r="A31" s="4" t="s">
        <v>30</v>
      </c>
      <c r="B31" s="4">
        <v>160.82</v>
      </c>
      <c r="C31" s="4">
        <v>195.81</v>
      </c>
      <c r="D31" s="4">
        <v>230.83</v>
      </c>
      <c r="E31" s="4">
        <v>318.21</v>
      </c>
      <c r="F31" s="4">
        <v>379.72</v>
      </c>
      <c r="G31" s="4">
        <v>469.62</v>
      </c>
      <c r="H31" s="4">
        <v>574.59</v>
      </c>
      <c r="I31" s="4">
        <v>652.2</v>
      </c>
      <c r="J31" s="4">
        <v>898.25</v>
      </c>
      <c r="K31" s="4">
        <v>1185.35</v>
      </c>
      <c r="L31" s="4">
        <v>1489.96</v>
      </c>
      <c r="M31" s="4">
        <v>1653.19</v>
      </c>
      <c r="N31" s="4">
        <v>1967.18</v>
      </c>
      <c r="O31" s="4">
        <v>2222.98</v>
      </c>
      <c r="P31" s="4">
        <v>2987.7</v>
      </c>
      <c r="Q31" s="4">
        <v>3516.86</v>
      </c>
      <c r="R31" s="4">
        <v>3757.09</v>
      </c>
      <c r="S31" s="4">
        <v>3835.67</v>
      </c>
      <c r="T31" s="4">
        <v>3137.57806</v>
      </c>
      <c r="U31" s="6">
        <v>2814.40751982</v>
      </c>
      <c r="V31" s="6">
        <v>2926.9838206128</v>
      </c>
      <c r="W31">
        <v>2991.37746466628</v>
      </c>
      <c r="X31">
        <v>3296.49796606224</v>
      </c>
      <c r="Y31">
        <v>3477.80535419566</v>
      </c>
    </row>
    <row r="32" spans="1:25">
      <c r="A32" s="4" t="s">
        <v>31</v>
      </c>
      <c r="B32" s="4">
        <v>648.12</v>
      </c>
      <c r="C32" s="4">
        <v>720.12</v>
      </c>
      <c r="D32" s="4">
        <v>856.7</v>
      </c>
      <c r="E32" s="4">
        <v>1079.24</v>
      </c>
      <c r="F32" s="4">
        <v>1239.5</v>
      </c>
      <c r="G32" s="4">
        <v>1384.33</v>
      </c>
      <c r="H32" s="4">
        <v>1596.16</v>
      </c>
      <c r="I32" s="4">
        <v>1885.24</v>
      </c>
      <c r="J32" s="4">
        <v>2285.6</v>
      </c>
      <c r="K32" s="4">
        <v>2473.24</v>
      </c>
      <c r="L32" s="4">
        <v>3233</v>
      </c>
      <c r="M32" s="4">
        <v>3948.87</v>
      </c>
      <c r="N32" s="4">
        <v>5477.61</v>
      </c>
      <c r="O32" s="4">
        <v>6943.72</v>
      </c>
      <c r="P32" s="4">
        <v>8301.43</v>
      </c>
      <c r="Q32" s="4">
        <v>8755.72</v>
      </c>
      <c r="R32" s="4">
        <v>8655.13</v>
      </c>
      <c r="S32" s="4">
        <v>10695.25</v>
      </c>
      <c r="T32" s="4">
        <v>8000.047</v>
      </c>
      <c r="U32" s="6">
        <v>8200.048175</v>
      </c>
      <c r="V32" s="6">
        <v>9528.45597935</v>
      </c>
      <c r="W32">
        <v>10957.7243762525</v>
      </c>
      <c r="X32">
        <v>11790.5114288477</v>
      </c>
      <c r="Y32">
        <v>13252.5348460248</v>
      </c>
    </row>
    <row r="33" spans="1:2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3">
      <c r="A35" s="4" t="s">
        <v>32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W35" t="s">
        <v>33</v>
      </c>
    </row>
    <row r="36" spans="1:25">
      <c r="A36" s="6" t="s">
        <v>1</v>
      </c>
      <c r="B36" s="6">
        <v>2000</v>
      </c>
      <c r="C36" s="6">
        <v>2001</v>
      </c>
      <c r="D36" s="6">
        <v>2002</v>
      </c>
      <c r="E36" s="6">
        <v>2003</v>
      </c>
      <c r="F36" s="6">
        <v>2004</v>
      </c>
      <c r="G36" s="6">
        <v>2005</v>
      </c>
      <c r="H36" s="6">
        <v>2006</v>
      </c>
      <c r="I36" s="6">
        <v>2007</v>
      </c>
      <c r="J36" s="6">
        <v>2008</v>
      </c>
      <c r="K36" s="6">
        <v>2009</v>
      </c>
      <c r="L36" s="6">
        <v>2010</v>
      </c>
      <c r="M36" s="6">
        <v>2011</v>
      </c>
      <c r="N36" s="6">
        <v>2012</v>
      </c>
      <c r="O36" s="6">
        <v>2013</v>
      </c>
      <c r="P36" s="6">
        <v>2014</v>
      </c>
      <c r="Q36" s="6">
        <v>2015</v>
      </c>
      <c r="R36" s="6">
        <v>2016</v>
      </c>
      <c r="S36" s="6">
        <v>2017</v>
      </c>
      <c r="T36" s="6">
        <v>2018</v>
      </c>
      <c r="U36" s="6">
        <v>2019</v>
      </c>
      <c r="V36" s="6">
        <v>2020</v>
      </c>
      <c r="W36" s="6">
        <v>2021</v>
      </c>
      <c r="X36">
        <v>2022</v>
      </c>
      <c r="Y36">
        <v>2023</v>
      </c>
    </row>
    <row r="37" spans="1:25">
      <c r="A37" s="4" t="s">
        <v>2</v>
      </c>
      <c r="B37" s="4">
        <v>101</v>
      </c>
      <c r="C37" s="4">
        <v>100.6</v>
      </c>
      <c r="D37" s="4">
        <v>100.4</v>
      </c>
      <c r="E37" s="4">
        <v>102.2</v>
      </c>
      <c r="F37" s="4">
        <v>104.3</v>
      </c>
      <c r="G37" s="4">
        <v>100.7</v>
      </c>
      <c r="H37" s="4">
        <v>100.4</v>
      </c>
      <c r="I37" s="4">
        <v>102.8</v>
      </c>
      <c r="J37" s="4">
        <v>107.8</v>
      </c>
      <c r="K37" s="4">
        <v>97.1</v>
      </c>
      <c r="L37" s="4">
        <v>102.5</v>
      </c>
      <c r="M37" s="4">
        <v>105.7</v>
      </c>
      <c r="N37" s="4">
        <v>101.3</v>
      </c>
      <c r="O37" s="4">
        <v>99.9</v>
      </c>
      <c r="P37" s="4">
        <v>100</v>
      </c>
      <c r="Q37" s="4">
        <v>97.6</v>
      </c>
      <c r="R37" s="4">
        <v>99.7</v>
      </c>
      <c r="S37" s="4">
        <v>104.7</v>
      </c>
      <c r="T37" s="4">
        <v>103.8</v>
      </c>
      <c r="U37" s="6">
        <v>102.1</v>
      </c>
      <c r="V37" s="6">
        <v>101.7</v>
      </c>
      <c r="W37">
        <v>101.1</v>
      </c>
      <c r="X37">
        <v>101.8</v>
      </c>
      <c r="Y37">
        <v>100.4</v>
      </c>
    </row>
    <row r="38" spans="1:25">
      <c r="A38" s="4" t="s">
        <v>3</v>
      </c>
      <c r="B38" s="4">
        <v>99.9</v>
      </c>
      <c r="C38" s="4">
        <v>99.7</v>
      </c>
      <c r="D38" s="4">
        <v>99.5</v>
      </c>
      <c r="E38" s="4">
        <v>102.6</v>
      </c>
      <c r="F38" s="4">
        <v>107.3</v>
      </c>
      <c r="G38" s="4">
        <v>101.2</v>
      </c>
      <c r="H38" s="4">
        <v>100.7</v>
      </c>
      <c r="I38" s="4">
        <v>102.6</v>
      </c>
      <c r="J38" s="4">
        <v>109.2</v>
      </c>
      <c r="K38" s="4">
        <v>97.6</v>
      </c>
      <c r="L38" s="4">
        <v>102.6</v>
      </c>
      <c r="M38" s="4">
        <v>105.7</v>
      </c>
      <c r="N38" s="4">
        <v>100</v>
      </c>
      <c r="O38" s="4">
        <v>99.5</v>
      </c>
      <c r="P38" s="4">
        <v>100.5</v>
      </c>
      <c r="Q38" s="4">
        <v>99.9</v>
      </c>
      <c r="R38" s="4">
        <v>99.4</v>
      </c>
      <c r="S38" s="4">
        <v>104.3</v>
      </c>
      <c r="T38" s="4">
        <v>104.5</v>
      </c>
      <c r="U38" s="6">
        <v>101.7</v>
      </c>
      <c r="V38" s="6">
        <v>102</v>
      </c>
      <c r="W38">
        <v>101.3</v>
      </c>
      <c r="X38">
        <v>101.9</v>
      </c>
      <c r="Y38">
        <v>100.4</v>
      </c>
    </row>
    <row r="39" spans="1:25">
      <c r="A39" s="4" t="s">
        <v>4</v>
      </c>
      <c r="B39" s="4">
        <v>101.1</v>
      </c>
      <c r="C39" s="4">
        <v>99.9</v>
      </c>
      <c r="D39" s="4">
        <v>99.5</v>
      </c>
      <c r="E39" s="4">
        <v>102.3</v>
      </c>
      <c r="F39" s="4">
        <v>107</v>
      </c>
      <c r="G39" s="4">
        <v>101.9</v>
      </c>
      <c r="H39" s="4">
        <v>101.7</v>
      </c>
      <c r="I39" s="4">
        <v>103.8</v>
      </c>
      <c r="J39" s="4">
        <v>109.6</v>
      </c>
      <c r="K39" s="4">
        <v>96.5</v>
      </c>
      <c r="L39" s="4">
        <v>103.7</v>
      </c>
      <c r="M39" s="4">
        <v>105.5</v>
      </c>
      <c r="N39" s="4">
        <v>100.3</v>
      </c>
      <c r="O39" s="4">
        <v>99.9</v>
      </c>
      <c r="P39" s="4">
        <v>100.2</v>
      </c>
      <c r="Q39" s="4">
        <v>98</v>
      </c>
      <c r="R39" s="4">
        <v>99.4</v>
      </c>
      <c r="S39" s="4">
        <v>106.7</v>
      </c>
      <c r="T39" s="4">
        <v>105</v>
      </c>
      <c r="U39" s="6">
        <v>103</v>
      </c>
      <c r="V39" s="6">
        <v>102.1</v>
      </c>
      <c r="W39">
        <v>101</v>
      </c>
      <c r="X39">
        <v>101.8</v>
      </c>
      <c r="Y39">
        <v>100.6</v>
      </c>
    </row>
    <row r="40" spans="1:25">
      <c r="A40" s="4" t="s">
        <v>5</v>
      </c>
      <c r="B40" s="4">
        <v>101.8</v>
      </c>
      <c r="C40" s="4">
        <v>101.7</v>
      </c>
      <c r="D40" s="4">
        <v>100.5</v>
      </c>
      <c r="E40" s="4">
        <v>102.9</v>
      </c>
      <c r="F40" s="4">
        <v>105.2</v>
      </c>
      <c r="G40" s="4">
        <v>103</v>
      </c>
      <c r="H40" s="4">
        <v>101.5</v>
      </c>
      <c r="I40" s="4">
        <v>104.1</v>
      </c>
      <c r="J40" s="4">
        <v>113.3</v>
      </c>
      <c r="K40" s="4">
        <v>98.1</v>
      </c>
      <c r="L40" s="4">
        <v>103.7</v>
      </c>
      <c r="M40" s="4">
        <v>105.5</v>
      </c>
      <c r="N40" s="4">
        <v>101.2</v>
      </c>
      <c r="O40" s="4">
        <v>100.5</v>
      </c>
      <c r="P40" s="4">
        <v>99.6</v>
      </c>
      <c r="Q40" s="4">
        <v>98.2</v>
      </c>
      <c r="R40" s="4">
        <v>100</v>
      </c>
      <c r="S40" s="4">
        <v>106.3</v>
      </c>
      <c r="T40" s="4">
        <v>104.5</v>
      </c>
      <c r="U40" s="6">
        <v>104</v>
      </c>
      <c r="V40" s="6">
        <v>102.9</v>
      </c>
      <c r="W40">
        <v>101</v>
      </c>
      <c r="X40">
        <v>102.1</v>
      </c>
      <c r="Y40">
        <v>99.9</v>
      </c>
    </row>
    <row r="41" spans="1:25">
      <c r="A41" s="4" t="s">
        <v>6</v>
      </c>
      <c r="B41" s="4">
        <v>101.9</v>
      </c>
      <c r="C41" s="4">
        <v>100.8</v>
      </c>
      <c r="D41" s="4">
        <v>101</v>
      </c>
      <c r="E41" s="4">
        <v>102.6</v>
      </c>
      <c r="F41" s="4">
        <v>105</v>
      </c>
      <c r="G41" s="4">
        <v>103.7</v>
      </c>
      <c r="H41" s="4">
        <v>103.3</v>
      </c>
      <c r="I41" s="4">
        <v>103.8</v>
      </c>
      <c r="J41" s="4">
        <v>108.1</v>
      </c>
      <c r="K41" s="4">
        <v>98.5</v>
      </c>
      <c r="L41" s="4">
        <v>105.4</v>
      </c>
      <c r="M41" s="4">
        <v>106.3</v>
      </c>
      <c r="N41" s="4">
        <v>101.6</v>
      </c>
      <c r="O41" s="4">
        <v>99.6</v>
      </c>
      <c r="P41" s="4">
        <v>99.8</v>
      </c>
      <c r="Q41" s="4">
        <v>98</v>
      </c>
      <c r="R41" s="4">
        <v>99.5</v>
      </c>
      <c r="S41" s="4">
        <v>103.4</v>
      </c>
      <c r="T41" s="4">
        <v>103.6</v>
      </c>
      <c r="U41" s="6">
        <v>101.7</v>
      </c>
      <c r="V41" s="6">
        <v>101.9</v>
      </c>
      <c r="W41">
        <v>100.9</v>
      </c>
      <c r="X41">
        <v>101.8</v>
      </c>
      <c r="Y41">
        <v>100.6</v>
      </c>
    </row>
    <row r="42" spans="1:25">
      <c r="A42" s="4" t="s">
        <v>7</v>
      </c>
      <c r="B42" s="4">
        <v>101.1</v>
      </c>
      <c r="C42" s="4">
        <v>100.4</v>
      </c>
      <c r="D42" s="4">
        <v>100.7</v>
      </c>
      <c r="E42" s="4">
        <v>102.5</v>
      </c>
      <c r="F42" s="4">
        <v>104.8</v>
      </c>
      <c r="G42" s="4">
        <v>102.8</v>
      </c>
      <c r="H42" s="4">
        <v>102.1</v>
      </c>
      <c r="I42" s="4">
        <v>104.3</v>
      </c>
      <c r="J42" s="4">
        <v>109.1</v>
      </c>
      <c r="K42" s="4">
        <v>97</v>
      </c>
      <c r="L42" s="4">
        <v>103.3</v>
      </c>
      <c r="M42" s="4">
        <v>106.6</v>
      </c>
      <c r="N42" s="4">
        <v>101</v>
      </c>
      <c r="O42" s="4">
        <v>100</v>
      </c>
      <c r="P42" s="4">
        <v>99.7</v>
      </c>
      <c r="Q42" s="4">
        <v>97.9</v>
      </c>
      <c r="R42" s="4">
        <v>99.2</v>
      </c>
      <c r="S42" s="4">
        <v>104</v>
      </c>
      <c r="T42" s="4">
        <v>103.5</v>
      </c>
      <c r="U42" s="6">
        <v>103.1</v>
      </c>
      <c r="V42" s="6">
        <v>102.4</v>
      </c>
      <c r="W42">
        <v>101.1</v>
      </c>
      <c r="X42">
        <v>102</v>
      </c>
      <c r="Y42">
        <v>100.1</v>
      </c>
    </row>
    <row r="43" spans="1:25">
      <c r="A43" s="4" t="s">
        <v>8</v>
      </c>
      <c r="B43" s="4">
        <v>102</v>
      </c>
      <c r="C43" s="4">
        <v>101.1</v>
      </c>
      <c r="D43" s="4">
        <v>101.2</v>
      </c>
      <c r="E43" s="4">
        <v>101.1</v>
      </c>
      <c r="F43" s="4">
        <v>104.1</v>
      </c>
      <c r="G43" s="4">
        <v>102</v>
      </c>
      <c r="H43" s="4">
        <v>102.2</v>
      </c>
      <c r="I43" s="4">
        <v>103.9</v>
      </c>
      <c r="J43" s="4">
        <v>107.3</v>
      </c>
      <c r="K43" s="4">
        <v>99.4</v>
      </c>
      <c r="L43" s="4">
        <v>102.4</v>
      </c>
      <c r="M43" s="4">
        <v>105.6</v>
      </c>
      <c r="N43" s="4">
        <v>100.4</v>
      </c>
      <c r="O43" s="4">
        <v>100</v>
      </c>
      <c r="P43" s="4">
        <v>100.2</v>
      </c>
      <c r="Q43" s="4">
        <v>97.6</v>
      </c>
      <c r="R43" s="4">
        <v>98.7</v>
      </c>
      <c r="S43" s="4">
        <v>104.7</v>
      </c>
      <c r="T43" s="4">
        <v>104.6</v>
      </c>
      <c r="U43" s="6">
        <v>102.6</v>
      </c>
      <c r="V43" s="6">
        <v>102.3</v>
      </c>
      <c r="W43">
        <v>100.6</v>
      </c>
      <c r="X43">
        <v>102.1</v>
      </c>
      <c r="Y43">
        <v>99.9</v>
      </c>
    </row>
    <row r="44" spans="1:25">
      <c r="A44" s="4" t="s">
        <v>9</v>
      </c>
      <c r="B44" s="4">
        <v>101.5</v>
      </c>
      <c r="C44" s="4">
        <v>100.1</v>
      </c>
      <c r="D44" s="4">
        <v>100.2</v>
      </c>
      <c r="E44" s="4">
        <v>102.3</v>
      </c>
      <c r="F44" s="4">
        <v>105</v>
      </c>
      <c r="G44" s="4">
        <v>102.2</v>
      </c>
      <c r="H44" s="4">
        <v>102.1</v>
      </c>
      <c r="I44" s="4">
        <v>104.5</v>
      </c>
      <c r="J44" s="4">
        <v>109</v>
      </c>
      <c r="K44" s="4">
        <v>97.6</v>
      </c>
      <c r="L44" s="4">
        <v>105.2</v>
      </c>
      <c r="M44" s="4">
        <v>107.5</v>
      </c>
      <c r="N44" s="4">
        <v>100.8</v>
      </c>
      <c r="O44" s="4">
        <v>100.1</v>
      </c>
      <c r="P44" s="4">
        <v>100</v>
      </c>
      <c r="Q44" s="4">
        <v>99</v>
      </c>
      <c r="R44" s="4">
        <v>99.4</v>
      </c>
      <c r="S44" s="4">
        <v>103.4</v>
      </c>
      <c r="T44" s="4">
        <v>103.3</v>
      </c>
      <c r="U44" s="6">
        <v>100.8</v>
      </c>
      <c r="V44" s="6">
        <v>102.3</v>
      </c>
      <c r="W44">
        <v>100.6</v>
      </c>
      <c r="X44">
        <v>101.9</v>
      </c>
      <c r="Y44">
        <v>100.6</v>
      </c>
    </row>
    <row r="45" spans="1:25">
      <c r="A45" s="4" t="s">
        <v>10</v>
      </c>
      <c r="B45" s="4">
        <v>100</v>
      </c>
      <c r="C45" s="4">
        <v>100.7</v>
      </c>
      <c r="D45" s="4">
        <v>100.3</v>
      </c>
      <c r="E45" s="4">
        <v>102.4</v>
      </c>
      <c r="F45" s="4">
        <v>106.7</v>
      </c>
      <c r="G45" s="4">
        <v>100.8</v>
      </c>
      <c r="H45" s="4">
        <v>100.1</v>
      </c>
      <c r="I45" s="4">
        <v>103.5</v>
      </c>
      <c r="J45" s="4">
        <v>107.9</v>
      </c>
      <c r="K45" s="4">
        <v>97</v>
      </c>
      <c r="L45" s="4">
        <v>103.8</v>
      </c>
      <c r="M45" s="4">
        <v>106.5</v>
      </c>
      <c r="N45" s="4">
        <v>99.4</v>
      </c>
      <c r="O45" s="4">
        <v>100.2</v>
      </c>
      <c r="P45" s="4">
        <v>100.5</v>
      </c>
      <c r="Q45" s="4">
        <v>97</v>
      </c>
      <c r="R45" s="4">
        <v>99.6</v>
      </c>
      <c r="S45" s="4">
        <v>106.7</v>
      </c>
      <c r="T45" s="4">
        <v>105.6</v>
      </c>
      <c r="U45" s="6">
        <v>101.4</v>
      </c>
      <c r="V45" s="6">
        <v>101.7</v>
      </c>
      <c r="W45">
        <v>101.2</v>
      </c>
      <c r="X45">
        <v>102.5</v>
      </c>
      <c r="Y45">
        <v>100.3</v>
      </c>
    </row>
    <row r="46" spans="1:25">
      <c r="A46" s="4" t="s">
        <v>11</v>
      </c>
      <c r="B46" s="4">
        <v>101.1</v>
      </c>
      <c r="C46" s="4">
        <v>100.8</v>
      </c>
      <c r="D46" s="4">
        <v>101.7</v>
      </c>
      <c r="E46" s="4">
        <v>104.3</v>
      </c>
      <c r="F46" s="4">
        <v>109.4</v>
      </c>
      <c r="G46" s="4">
        <v>100.9</v>
      </c>
      <c r="H46" s="4">
        <v>101.2</v>
      </c>
      <c r="I46" s="4">
        <v>104.9</v>
      </c>
      <c r="J46" s="4">
        <v>110</v>
      </c>
      <c r="K46" s="4">
        <v>97.7</v>
      </c>
      <c r="L46" s="4">
        <v>105.1</v>
      </c>
      <c r="M46" s="4">
        <v>106.8</v>
      </c>
      <c r="N46" s="4">
        <v>98.6</v>
      </c>
      <c r="O46" s="4">
        <v>100.5</v>
      </c>
      <c r="P46" s="4">
        <v>101.1</v>
      </c>
      <c r="Q46" s="4">
        <v>96.2</v>
      </c>
      <c r="R46" s="4">
        <v>98.8</v>
      </c>
      <c r="S46" s="4">
        <v>107.6</v>
      </c>
      <c r="T46" s="4">
        <v>106</v>
      </c>
      <c r="U46" s="6">
        <v>101.3</v>
      </c>
      <c r="V46" s="6">
        <v>102.5</v>
      </c>
      <c r="W46">
        <v>101.6</v>
      </c>
      <c r="X46">
        <v>102.2</v>
      </c>
      <c r="Y46">
        <v>100.4</v>
      </c>
    </row>
    <row r="47" spans="1:25">
      <c r="A47" s="4" t="s">
        <v>12</v>
      </c>
      <c r="B47" s="4">
        <v>100.3</v>
      </c>
      <c r="C47" s="4">
        <v>100.4</v>
      </c>
      <c r="D47" s="4">
        <v>100.5</v>
      </c>
      <c r="E47" s="4">
        <v>103.5</v>
      </c>
      <c r="F47" s="4">
        <v>105.9</v>
      </c>
      <c r="G47" s="4">
        <v>100.3</v>
      </c>
      <c r="H47" s="4">
        <v>101.5</v>
      </c>
      <c r="I47" s="4">
        <v>104.4</v>
      </c>
      <c r="J47" s="4">
        <v>109.3</v>
      </c>
      <c r="K47" s="4">
        <v>96.7</v>
      </c>
      <c r="L47" s="4">
        <v>104.7</v>
      </c>
      <c r="M47" s="4">
        <v>107.5</v>
      </c>
      <c r="N47" s="4">
        <v>99.2</v>
      </c>
      <c r="O47" s="4">
        <v>100</v>
      </c>
      <c r="P47" s="4">
        <v>100.6</v>
      </c>
      <c r="Q47" s="4">
        <v>97.4</v>
      </c>
      <c r="R47" s="4">
        <v>99.5</v>
      </c>
      <c r="S47" s="4">
        <v>105.8</v>
      </c>
      <c r="T47" s="4">
        <v>105.7</v>
      </c>
      <c r="U47" s="6">
        <v>102.1</v>
      </c>
      <c r="V47" s="6">
        <v>102.3</v>
      </c>
      <c r="W47">
        <v>101.5</v>
      </c>
      <c r="X47">
        <v>102.2</v>
      </c>
      <c r="Y47">
        <v>100.3</v>
      </c>
    </row>
    <row r="48" spans="1:25">
      <c r="A48" s="4" t="s">
        <v>13</v>
      </c>
      <c r="B48" s="4">
        <v>101.6</v>
      </c>
      <c r="C48" s="4">
        <v>99.5</v>
      </c>
      <c r="D48" s="4">
        <v>101.1</v>
      </c>
      <c r="E48" s="4">
        <v>103.5</v>
      </c>
      <c r="F48" s="4">
        <v>106.1</v>
      </c>
      <c r="G48" s="4">
        <v>101</v>
      </c>
      <c r="H48" s="4">
        <v>101.9</v>
      </c>
      <c r="I48" s="4">
        <v>105.4</v>
      </c>
      <c r="J48" s="4">
        <v>109.4</v>
      </c>
      <c r="K48" s="4">
        <v>96</v>
      </c>
      <c r="L48" s="4">
        <v>105.4</v>
      </c>
      <c r="M48" s="4">
        <v>108.1</v>
      </c>
      <c r="N48" s="4">
        <v>101</v>
      </c>
      <c r="O48" s="4">
        <v>100.2</v>
      </c>
      <c r="P48" s="4">
        <v>100.3</v>
      </c>
      <c r="Q48" s="4">
        <v>96.9</v>
      </c>
      <c r="R48" s="4">
        <v>99.2</v>
      </c>
      <c r="S48" s="4">
        <v>107.4</v>
      </c>
      <c r="T48" s="4">
        <v>105.8</v>
      </c>
      <c r="U48" s="6">
        <v>102.3</v>
      </c>
      <c r="V48" s="6">
        <v>102.7</v>
      </c>
      <c r="W48">
        <v>100.9</v>
      </c>
      <c r="X48">
        <v>102</v>
      </c>
      <c r="Y48">
        <v>100.2</v>
      </c>
    </row>
    <row r="49" spans="1:25">
      <c r="A49" s="4" t="s">
        <v>14</v>
      </c>
      <c r="B49" s="4">
        <v>100.2</v>
      </c>
      <c r="C49" s="4">
        <v>99.5</v>
      </c>
      <c r="D49" s="4">
        <v>99.7</v>
      </c>
      <c r="E49" s="4">
        <v>101.4</v>
      </c>
      <c r="F49" s="4">
        <v>103.4</v>
      </c>
      <c r="G49" s="4">
        <v>100.7</v>
      </c>
      <c r="H49" s="4">
        <v>102</v>
      </c>
      <c r="I49" s="4">
        <v>105.9</v>
      </c>
      <c r="J49" s="4">
        <v>105.9</v>
      </c>
      <c r="K49" s="4">
        <v>98</v>
      </c>
      <c r="L49" s="4">
        <v>103.3</v>
      </c>
      <c r="M49" s="4">
        <v>106.2</v>
      </c>
      <c r="N49" s="4">
        <v>100.3</v>
      </c>
      <c r="O49" s="4">
        <v>100.1</v>
      </c>
      <c r="P49" s="4">
        <v>100.4</v>
      </c>
      <c r="Q49" s="4">
        <v>98.3</v>
      </c>
      <c r="R49" s="4">
        <v>100</v>
      </c>
      <c r="S49" s="4">
        <v>105.6</v>
      </c>
      <c r="T49" s="4">
        <v>104.9</v>
      </c>
      <c r="U49" s="6">
        <v>101.5</v>
      </c>
      <c r="V49" s="6">
        <v>102.2</v>
      </c>
      <c r="W49">
        <v>100.7</v>
      </c>
      <c r="X49">
        <v>101.9</v>
      </c>
      <c r="Y49">
        <v>100</v>
      </c>
    </row>
    <row r="50" spans="1:25">
      <c r="A50" s="4" t="s">
        <v>15</v>
      </c>
      <c r="B50" s="4">
        <v>101.4</v>
      </c>
      <c r="C50" s="4">
        <v>98.9</v>
      </c>
      <c r="D50" s="4">
        <v>100</v>
      </c>
      <c r="E50" s="4">
        <v>105.1</v>
      </c>
      <c r="F50" s="4">
        <v>107.4</v>
      </c>
      <c r="G50" s="4">
        <v>100.5</v>
      </c>
      <c r="H50" s="4">
        <v>103.2</v>
      </c>
      <c r="I50" s="4">
        <v>105.4</v>
      </c>
      <c r="J50" s="4">
        <v>110.4</v>
      </c>
      <c r="K50" s="4">
        <v>96.1</v>
      </c>
      <c r="L50" s="4">
        <v>104.8</v>
      </c>
      <c r="M50" s="4">
        <v>108.4</v>
      </c>
      <c r="N50" s="4">
        <v>101</v>
      </c>
      <c r="O50" s="4">
        <v>100.4</v>
      </c>
      <c r="P50" s="4">
        <v>100.1</v>
      </c>
      <c r="Q50" s="4">
        <v>96.8</v>
      </c>
      <c r="R50" s="4">
        <v>100</v>
      </c>
      <c r="S50" s="4">
        <v>106.1</v>
      </c>
      <c r="T50" s="4">
        <v>106.4</v>
      </c>
      <c r="U50" s="6">
        <v>102.4</v>
      </c>
      <c r="V50" s="6">
        <v>102.6</v>
      </c>
      <c r="W50">
        <v>100.9</v>
      </c>
      <c r="X50">
        <v>102</v>
      </c>
      <c r="Y50">
        <v>100.3</v>
      </c>
    </row>
    <row r="51" spans="1:25">
      <c r="A51" s="4" t="s">
        <v>16</v>
      </c>
      <c r="B51" s="4">
        <v>102.4</v>
      </c>
      <c r="C51" s="4">
        <v>101.4</v>
      </c>
      <c r="D51" s="4">
        <v>101.1</v>
      </c>
      <c r="E51" s="4">
        <v>102.9</v>
      </c>
      <c r="F51" s="4">
        <v>107.4</v>
      </c>
      <c r="G51" s="4">
        <v>102.9</v>
      </c>
      <c r="H51" s="4">
        <v>101.8</v>
      </c>
      <c r="I51" s="4">
        <v>104</v>
      </c>
      <c r="J51" s="4">
        <v>107.7</v>
      </c>
      <c r="K51" s="4">
        <v>96.9</v>
      </c>
      <c r="L51" s="4">
        <v>103.6</v>
      </c>
      <c r="M51" s="4">
        <v>106.8</v>
      </c>
      <c r="N51" s="4">
        <v>100.8</v>
      </c>
      <c r="O51" s="4">
        <v>100.4</v>
      </c>
      <c r="P51" s="4">
        <v>100.3</v>
      </c>
      <c r="Q51" s="4">
        <v>97.7</v>
      </c>
      <c r="R51" s="4">
        <v>99.1</v>
      </c>
      <c r="S51" s="4">
        <v>105.8</v>
      </c>
      <c r="T51" s="4">
        <v>106.1</v>
      </c>
      <c r="U51" s="6">
        <v>102.8</v>
      </c>
      <c r="V51" s="6">
        <v>102.8</v>
      </c>
      <c r="W51">
        <v>101.2</v>
      </c>
      <c r="X51">
        <v>101.7</v>
      </c>
      <c r="Y51">
        <v>100.1</v>
      </c>
    </row>
    <row r="52" spans="1:25">
      <c r="A52" s="4" t="s">
        <v>17</v>
      </c>
      <c r="B52" s="4">
        <v>102.9</v>
      </c>
      <c r="C52" s="4">
        <v>100.4</v>
      </c>
      <c r="D52" s="4">
        <v>98.7</v>
      </c>
      <c r="E52" s="4">
        <v>103.8</v>
      </c>
      <c r="F52" s="4">
        <v>110.1</v>
      </c>
      <c r="G52" s="4">
        <v>101.4</v>
      </c>
      <c r="H52" s="4">
        <v>101.6</v>
      </c>
      <c r="I52" s="4">
        <v>104.6</v>
      </c>
      <c r="J52" s="4">
        <v>109</v>
      </c>
      <c r="K52" s="4">
        <v>96.4</v>
      </c>
      <c r="L52" s="4">
        <v>103.5</v>
      </c>
      <c r="M52" s="4">
        <v>107.4</v>
      </c>
      <c r="N52" s="4">
        <v>101</v>
      </c>
      <c r="O52" s="4">
        <v>99.9</v>
      </c>
      <c r="P52" s="4">
        <v>100</v>
      </c>
      <c r="Q52" s="4">
        <v>97.6</v>
      </c>
      <c r="R52" s="4">
        <v>99.2</v>
      </c>
      <c r="S52" s="4">
        <v>107.4</v>
      </c>
      <c r="T52" s="4">
        <v>105.4</v>
      </c>
      <c r="U52" s="6">
        <v>103.2</v>
      </c>
      <c r="V52" s="6">
        <v>102.8</v>
      </c>
      <c r="W52">
        <v>100.9</v>
      </c>
      <c r="X52">
        <v>101.5</v>
      </c>
      <c r="Y52">
        <v>99.8</v>
      </c>
    </row>
    <row r="53" spans="1:25">
      <c r="A53" s="4" t="s">
        <v>18</v>
      </c>
      <c r="B53" s="4">
        <v>101.7</v>
      </c>
      <c r="C53" s="4">
        <v>100.1</v>
      </c>
      <c r="D53" s="4">
        <v>99.8</v>
      </c>
      <c r="E53" s="4">
        <v>103.3</v>
      </c>
      <c r="F53" s="4">
        <v>106</v>
      </c>
      <c r="G53" s="4">
        <v>102.2</v>
      </c>
      <c r="H53" s="4">
        <v>101.8</v>
      </c>
      <c r="I53" s="4">
        <v>104.1</v>
      </c>
      <c r="J53" s="4">
        <v>109.4</v>
      </c>
      <c r="K53" s="4">
        <v>98.8</v>
      </c>
      <c r="L53" s="4">
        <v>104.7</v>
      </c>
      <c r="M53" s="4">
        <v>107.3</v>
      </c>
      <c r="N53" s="4">
        <v>101.8</v>
      </c>
      <c r="O53" s="4">
        <v>100.5</v>
      </c>
      <c r="P53" s="4">
        <v>101</v>
      </c>
      <c r="Q53" s="4">
        <v>99.4</v>
      </c>
      <c r="R53" s="4">
        <v>100.1</v>
      </c>
      <c r="S53" s="4">
        <v>105.9</v>
      </c>
      <c r="T53" s="4">
        <v>106.6</v>
      </c>
      <c r="U53" s="6">
        <v>104</v>
      </c>
      <c r="V53" s="6">
        <v>102.7</v>
      </c>
      <c r="W53">
        <v>100.3</v>
      </c>
      <c r="X53">
        <v>102.1</v>
      </c>
      <c r="Y53">
        <v>100.1</v>
      </c>
    </row>
    <row r="54" spans="1:25">
      <c r="A54" s="4" t="s">
        <v>19</v>
      </c>
      <c r="B54" s="4">
        <v>102.3</v>
      </c>
      <c r="C54" s="4">
        <v>101.3</v>
      </c>
      <c r="D54" s="4">
        <v>100.3</v>
      </c>
      <c r="E54" s="4">
        <v>102.8</v>
      </c>
      <c r="F54" s="4">
        <v>105.5</v>
      </c>
      <c r="G54" s="4">
        <v>103.6</v>
      </c>
      <c r="H54" s="4">
        <v>103.1</v>
      </c>
      <c r="I54" s="4">
        <v>105.8</v>
      </c>
      <c r="J54" s="4">
        <v>109.9</v>
      </c>
      <c r="K54" s="4">
        <v>99.7</v>
      </c>
      <c r="L54" s="4">
        <v>104</v>
      </c>
      <c r="M54" s="4">
        <v>107.2</v>
      </c>
      <c r="N54" s="4">
        <v>101.7</v>
      </c>
      <c r="O54" s="4">
        <v>101.3</v>
      </c>
      <c r="P54" s="4">
        <v>101.5</v>
      </c>
      <c r="Q54" s="4">
        <v>100.4</v>
      </c>
      <c r="R54" s="4">
        <v>100.4</v>
      </c>
      <c r="S54" s="4">
        <v>105.7</v>
      </c>
      <c r="T54" s="4">
        <v>104.8</v>
      </c>
      <c r="U54" s="6">
        <v>101.7</v>
      </c>
      <c r="V54" s="6">
        <v>102.3</v>
      </c>
      <c r="W54">
        <v>100.5</v>
      </c>
      <c r="X54">
        <v>101.8</v>
      </c>
      <c r="Y54">
        <v>100.2</v>
      </c>
    </row>
    <row r="55" spans="1:25">
      <c r="A55" s="4" t="s">
        <v>20</v>
      </c>
      <c r="B55" s="4">
        <v>101.1</v>
      </c>
      <c r="C55" s="4">
        <v>100.2</v>
      </c>
      <c r="D55" s="4">
        <v>99.7</v>
      </c>
      <c r="E55" s="4">
        <v>102.2</v>
      </c>
      <c r="F55" s="4">
        <v>106.4</v>
      </c>
      <c r="G55" s="4">
        <v>101.6</v>
      </c>
      <c r="H55" s="4">
        <v>100.7</v>
      </c>
      <c r="I55" s="4">
        <v>102.4</v>
      </c>
      <c r="J55" s="4">
        <v>108.6</v>
      </c>
      <c r="K55" s="4">
        <v>96.7</v>
      </c>
      <c r="L55" s="4">
        <v>103</v>
      </c>
      <c r="M55" s="4">
        <v>105.5</v>
      </c>
      <c r="N55" s="4">
        <v>101.5</v>
      </c>
      <c r="O55" s="4">
        <v>101.4</v>
      </c>
      <c r="P55" s="4">
        <v>101.5</v>
      </c>
      <c r="Q55" s="4">
        <v>99</v>
      </c>
      <c r="R55" s="4">
        <v>100.3</v>
      </c>
      <c r="S55" s="4">
        <v>105.3</v>
      </c>
      <c r="T55" s="4">
        <v>106.2</v>
      </c>
      <c r="U55" s="6">
        <v>104.2</v>
      </c>
      <c r="V55" s="6">
        <v>102.6</v>
      </c>
      <c r="W55">
        <v>100.8</v>
      </c>
      <c r="X55">
        <v>102.2</v>
      </c>
      <c r="Y55">
        <v>100.4</v>
      </c>
    </row>
    <row r="56" spans="1:25">
      <c r="A56" s="4" t="s">
        <v>21</v>
      </c>
      <c r="B56" s="4">
        <v>101.4</v>
      </c>
      <c r="C56" s="4">
        <v>102</v>
      </c>
      <c r="D56" s="4">
        <v>100.3</v>
      </c>
      <c r="E56" s="4">
        <v>101.8</v>
      </c>
      <c r="F56" s="4">
        <v>104.6</v>
      </c>
      <c r="G56" s="4">
        <v>101.4</v>
      </c>
      <c r="H56" s="4">
        <v>101.2</v>
      </c>
      <c r="I56" s="4">
        <v>102.3</v>
      </c>
      <c r="J56" s="4">
        <v>107.9</v>
      </c>
      <c r="K56" s="4">
        <v>97.9</v>
      </c>
      <c r="L56" s="4">
        <v>103</v>
      </c>
      <c r="M56" s="4">
        <v>106.2</v>
      </c>
      <c r="N56" s="4">
        <v>100.6</v>
      </c>
      <c r="O56" s="4">
        <v>100.1</v>
      </c>
      <c r="P56" s="4">
        <v>101.6</v>
      </c>
      <c r="Q56" s="4">
        <v>98.8</v>
      </c>
      <c r="R56" s="4">
        <v>99.5</v>
      </c>
      <c r="S56" s="4">
        <v>104.4</v>
      </c>
      <c r="T56" s="4">
        <v>104.5</v>
      </c>
      <c r="U56" s="6">
        <v>102.4</v>
      </c>
      <c r="V56" s="6">
        <v>102.8</v>
      </c>
      <c r="W56">
        <v>100.9</v>
      </c>
      <c r="X56">
        <v>101.9</v>
      </c>
      <c r="Y56">
        <v>99.8</v>
      </c>
    </row>
    <row r="57" spans="1:25">
      <c r="A57" s="4" t="s">
        <v>22</v>
      </c>
      <c r="B57" s="4">
        <v>101.8</v>
      </c>
      <c r="C57" s="4">
        <v>100.3</v>
      </c>
      <c r="D57" s="4">
        <v>98.2</v>
      </c>
      <c r="E57" s="4">
        <v>103.2</v>
      </c>
      <c r="F57" s="4">
        <v>105.6</v>
      </c>
      <c r="G57" s="4">
        <v>101.2</v>
      </c>
      <c r="H57" s="4">
        <v>101</v>
      </c>
      <c r="I57" s="4">
        <v>106.1</v>
      </c>
      <c r="J57" s="4">
        <v>113.3</v>
      </c>
      <c r="K57" s="4">
        <v>97.7</v>
      </c>
      <c r="L57" s="4">
        <v>105.2</v>
      </c>
      <c r="M57" s="4">
        <v>106.4</v>
      </c>
      <c r="N57" s="4">
        <v>102</v>
      </c>
      <c r="O57" s="4">
        <v>99.3</v>
      </c>
      <c r="P57" s="4">
        <v>100.6</v>
      </c>
      <c r="Q57" s="4">
        <v>99.4</v>
      </c>
      <c r="R57" s="4">
        <v>100.1</v>
      </c>
      <c r="S57" s="4">
        <v>104.1</v>
      </c>
      <c r="T57" s="4">
        <v>106.2</v>
      </c>
      <c r="U57" s="6">
        <v>103.3</v>
      </c>
      <c r="V57" s="6">
        <v>102.3</v>
      </c>
      <c r="W57">
        <v>100.3</v>
      </c>
      <c r="X57">
        <v>101.6</v>
      </c>
      <c r="Y57">
        <v>100.3</v>
      </c>
    </row>
    <row r="58" spans="1:25">
      <c r="A58" s="4" t="s">
        <v>23</v>
      </c>
      <c r="B58" s="4">
        <v>102.5</v>
      </c>
      <c r="C58" s="4">
        <v>100.8</v>
      </c>
      <c r="D58" s="4">
        <v>100.7</v>
      </c>
      <c r="E58" s="4">
        <v>102.9</v>
      </c>
      <c r="F58" s="4">
        <v>105.1</v>
      </c>
      <c r="G58" s="4">
        <v>102.3</v>
      </c>
      <c r="H58" s="4">
        <v>101.7</v>
      </c>
      <c r="I58" s="4">
        <v>105.5</v>
      </c>
      <c r="J58" s="4">
        <v>110.2</v>
      </c>
      <c r="K58" s="4">
        <v>97.8</v>
      </c>
      <c r="L58" s="4">
        <v>102.1</v>
      </c>
      <c r="M58" s="4">
        <v>105.9</v>
      </c>
      <c r="N58" s="4">
        <v>101.8</v>
      </c>
      <c r="O58" s="4">
        <v>100.5</v>
      </c>
      <c r="P58" s="4">
        <v>100.3</v>
      </c>
      <c r="Q58" s="4">
        <v>98.2</v>
      </c>
      <c r="R58" s="4">
        <v>98.9</v>
      </c>
      <c r="S58" s="4">
        <v>105.3</v>
      </c>
      <c r="T58" s="4">
        <v>105</v>
      </c>
      <c r="U58" s="6">
        <v>105</v>
      </c>
      <c r="V58" s="6">
        <v>102.3</v>
      </c>
      <c r="W58">
        <v>100.3</v>
      </c>
      <c r="X58">
        <v>102.1</v>
      </c>
      <c r="Y58">
        <v>99.7</v>
      </c>
    </row>
    <row r="59" spans="1:25">
      <c r="A59" s="4" t="s">
        <v>24</v>
      </c>
      <c r="B59" s="4">
        <v>100.9</v>
      </c>
      <c r="C59" s="4">
        <v>101.5</v>
      </c>
      <c r="D59" s="4">
        <v>100.5</v>
      </c>
      <c r="E59" s="4">
        <v>102.2</v>
      </c>
      <c r="F59" s="4">
        <v>106.8</v>
      </c>
      <c r="G59" s="4">
        <v>103.9</v>
      </c>
      <c r="H59" s="4">
        <v>102.9</v>
      </c>
      <c r="I59" s="4">
        <v>104.7</v>
      </c>
      <c r="J59" s="4">
        <v>112.5</v>
      </c>
      <c r="K59" s="4">
        <v>98.3</v>
      </c>
      <c r="L59" s="4">
        <v>102.5</v>
      </c>
      <c r="M59" s="4">
        <v>105.2</v>
      </c>
      <c r="N59" s="4">
        <v>101</v>
      </c>
      <c r="O59" s="4">
        <v>100.4</v>
      </c>
      <c r="P59" s="4">
        <v>100.5</v>
      </c>
      <c r="Q59" s="4">
        <v>97.9</v>
      </c>
      <c r="R59" s="4">
        <v>99.8</v>
      </c>
      <c r="S59" s="4">
        <v>107.7</v>
      </c>
      <c r="T59" s="4">
        <v>106.4</v>
      </c>
      <c r="U59" s="6">
        <v>101.6</v>
      </c>
      <c r="V59" s="6">
        <v>103.2</v>
      </c>
      <c r="W59">
        <v>100.3</v>
      </c>
      <c r="X59">
        <v>102</v>
      </c>
      <c r="Y59">
        <v>100</v>
      </c>
    </row>
    <row r="60" spans="1:25">
      <c r="A60" s="4" t="s">
        <v>25</v>
      </c>
      <c r="B60" s="4">
        <v>102.2</v>
      </c>
      <c r="C60" s="4">
        <v>100.4</v>
      </c>
      <c r="D60" s="4">
        <v>100.2</v>
      </c>
      <c r="E60" s="4">
        <v>102.3</v>
      </c>
      <c r="F60" s="4">
        <v>104.9</v>
      </c>
      <c r="G60" s="4">
        <v>101.4</v>
      </c>
      <c r="H60" s="4">
        <v>101.1</v>
      </c>
      <c r="I60" s="4">
        <v>103.5</v>
      </c>
      <c r="J60" s="4">
        <v>108.9</v>
      </c>
      <c r="K60" s="4">
        <v>100.5</v>
      </c>
      <c r="L60" s="4">
        <v>102.7</v>
      </c>
      <c r="M60" s="4">
        <v>105.4</v>
      </c>
      <c r="N60" s="4">
        <v>101.5</v>
      </c>
      <c r="O60" s="4">
        <v>100.9</v>
      </c>
      <c r="P60" s="4">
        <v>101.1</v>
      </c>
      <c r="Q60" s="4">
        <v>98.4</v>
      </c>
      <c r="R60" s="4">
        <v>98.6</v>
      </c>
      <c r="S60" s="4">
        <v>106.1</v>
      </c>
      <c r="T60" s="4">
        <v>105.2</v>
      </c>
      <c r="U60" s="6">
        <v>102.3</v>
      </c>
      <c r="V60" s="6">
        <v>102.6</v>
      </c>
      <c r="W60">
        <v>100.1</v>
      </c>
      <c r="X60">
        <v>101.6</v>
      </c>
      <c r="Y60">
        <v>99.7</v>
      </c>
    </row>
    <row r="61" spans="1:25">
      <c r="A61" s="4" t="s">
        <v>26</v>
      </c>
      <c r="B61" s="4">
        <v>101.6</v>
      </c>
      <c r="C61" s="4">
        <v>101</v>
      </c>
      <c r="D61" s="4">
        <v>100</v>
      </c>
      <c r="E61" s="4">
        <v>102.2</v>
      </c>
      <c r="F61" s="4">
        <v>108</v>
      </c>
      <c r="G61" s="4">
        <v>104.6</v>
      </c>
      <c r="H61" s="4">
        <v>101.8</v>
      </c>
      <c r="I61" s="4">
        <v>104.2</v>
      </c>
      <c r="J61" s="4">
        <v>107.4</v>
      </c>
      <c r="K61" s="4">
        <v>98.1</v>
      </c>
      <c r="L61" s="4">
        <v>102.7</v>
      </c>
      <c r="M61" s="4">
        <v>104.6</v>
      </c>
      <c r="N61" s="4">
        <v>101.4</v>
      </c>
      <c r="O61" s="4">
        <v>101.1</v>
      </c>
      <c r="P61" s="4">
        <v>101</v>
      </c>
      <c r="Q61" s="4">
        <v>99.1</v>
      </c>
      <c r="R61" s="4">
        <v>100.1</v>
      </c>
      <c r="S61" s="4">
        <v>104.9</v>
      </c>
      <c r="T61" s="4">
        <v>104.9</v>
      </c>
      <c r="U61" s="6">
        <v>102.3</v>
      </c>
      <c r="V61" s="6">
        <v>103.6</v>
      </c>
      <c r="W61">
        <v>100.2</v>
      </c>
      <c r="X61">
        <v>101.6</v>
      </c>
      <c r="Y61">
        <v>100.3</v>
      </c>
    </row>
    <row r="62" spans="1:25">
      <c r="A62" s="4" t="s">
        <v>27</v>
      </c>
      <c r="B62" s="4">
        <v>103.6</v>
      </c>
      <c r="C62" s="4">
        <v>103.6</v>
      </c>
      <c r="D62" s="4">
        <v>102</v>
      </c>
      <c r="E62" s="4">
        <v>101.7</v>
      </c>
      <c r="F62" s="4">
        <v>104.5</v>
      </c>
      <c r="G62" s="4">
        <v>103.7</v>
      </c>
      <c r="H62" s="4">
        <v>102.6</v>
      </c>
      <c r="I62" s="4">
        <v>104</v>
      </c>
      <c r="J62" s="4">
        <v>109.5</v>
      </c>
      <c r="K62" s="4">
        <v>99.3</v>
      </c>
      <c r="L62" s="4">
        <v>103.6</v>
      </c>
      <c r="M62" s="4">
        <v>105.9</v>
      </c>
      <c r="N62" s="4">
        <v>102.6</v>
      </c>
      <c r="O62" s="4">
        <v>102</v>
      </c>
      <c r="P62" s="4">
        <v>101.1</v>
      </c>
      <c r="Q62" s="4">
        <v>98.8</v>
      </c>
      <c r="R62" s="4">
        <v>99.9</v>
      </c>
      <c r="S62" s="4">
        <v>105.3</v>
      </c>
      <c r="T62" s="4">
        <v>105.4</v>
      </c>
      <c r="U62" s="6">
        <v>102.6</v>
      </c>
      <c r="V62" s="6">
        <v>102.5</v>
      </c>
      <c r="W62">
        <v>101.5</v>
      </c>
      <c r="X62">
        <v>102.1</v>
      </c>
      <c r="Y62">
        <v>100.1</v>
      </c>
    </row>
    <row r="63" spans="1:25">
      <c r="A63" s="4" t="s">
        <v>28</v>
      </c>
      <c r="B63" s="4">
        <v>103.3</v>
      </c>
      <c r="C63" s="4">
        <v>102</v>
      </c>
      <c r="D63" s="4">
        <v>100.2</v>
      </c>
      <c r="E63" s="4">
        <v>101.7</v>
      </c>
      <c r="F63" s="4">
        <v>105.5</v>
      </c>
      <c r="G63" s="4">
        <v>102.2</v>
      </c>
      <c r="H63" s="4">
        <v>104.1</v>
      </c>
      <c r="I63" s="4">
        <v>102.8</v>
      </c>
      <c r="J63" s="4">
        <v>106.7</v>
      </c>
      <c r="K63" s="4">
        <v>101.5</v>
      </c>
      <c r="L63" s="4">
        <v>103.5</v>
      </c>
      <c r="M63" s="4">
        <v>104.7</v>
      </c>
      <c r="N63" s="4">
        <v>102.1</v>
      </c>
      <c r="O63" s="4">
        <v>100.4</v>
      </c>
      <c r="P63" s="4">
        <v>100.1</v>
      </c>
      <c r="Q63" s="4">
        <v>97.7</v>
      </c>
      <c r="R63" s="4">
        <v>98.7</v>
      </c>
      <c r="S63" s="4">
        <v>105.9</v>
      </c>
      <c r="T63" s="4">
        <v>104.6</v>
      </c>
      <c r="U63" s="6">
        <v>102.6</v>
      </c>
      <c r="V63" s="6">
        <v>102</v>
      </c>
      <c r="W63">
        <v>100.9</v>
      </c>
      <c r="X63">
        <v>101.9</v>
      </c>
      <c r="Y63">
        <v>100.5</v>
      </c>
    </row>
    <row r="64" spans="1:25">
      <c r="A64" s="4" t="s">
        <v>29</v>
      </c>
      <c r="B64" s="4">
        <v>101.6</v>
      </c>
      <c r="C64" s="4">
        <v>100.3</v>
      </c>
      <c r="D64" s="4">
        <v>103.2</v>
      </c>
      <c r="E64" s="4">
        <v>102</v>
      </c>
      <c r="F64" s="4">
        <v>102.8</v>
      </c>
      <c r="G64" s="4">
        <v>102.1</v>
      </c>
      <c r="H64" s="4">
        <v>102.4</v>
      </c>
      <c r="I64" s="4">
        <v>104.2</v>
      </c>
      <c r="J64" s="4">
        <v>110.5</v>
      </c>
      <c r="K64" s="4">
        <v>100.9</v>
      </c>
      <c r="L64" s="4">
        <v>103.8</v>
      </c>
      <c r="M64" s="4">
        <v>106.5</v>
      </c>
      <c r="N64" s="4">
        <v>102.2</v>
      </c>
      <c r="O64" s="4">
        <v>101.5</v>
      </c>
      <c r="P64" s="4">
        <v>100.9</v>
      </c>
      <c r="Q64" s="4">
        <v>98.2</v>
      </c>
      <c r="R64" s="4">
        <v>99.6</v>
      </c>
      <c r="S64" s="4">
        <v>106.1</v>
      </c>
      <c r="T64" s="4">
        <v>104.3</v>
      </c>
      <c r="U64" s="6">
        <v>102.5</v>
      </c>
      <c r="V64" s="6">
        <v>102.6</v>
      </c>
      <c r="W64">
        <v>101.3</v>
      </c>
      <c r="X64">
        <v>102.4</v>
      </c>
      <c r="Y64">
        <v>100.5</v>
      </c>
    </row>
    <row r="65" spans="1:25">
      <c r="A65" s="4" t="s">
        <v>30</v>
      </c>
      <c r="B65" s="4">
        <v>104.5</v>
      </c>
      <c r="C65" s="4">
        <v>101.5</v>
      </c>
      <c r="D65" s="4">
        <v>100.7</v>
      </c>
      <c r="E65" s="4">
        <v>102.3</v>
      </c>
      <c r="F65" s="4">
        <v>104.9</v>
      </c>
      <c r="G65" s="4">
        <v>102.1</v>
      </c>
      <c r="H65" s="4">
        <v>101.3</v>
      </c>
      <c r="I65" s="4">
        <v>103.2</v>
      </c>
      <c r="J65" s="4">
        <v>109</v>
      </c>
      <c r="K65" s="4">
        <v>100.2</v>
      </c>
      <c r="L65" s="4">
        <v>104.2</v>
      </c>
      <c r="M65" s="4">
        <v>107.5</v>
      </c>
      <c r="N65" s="4">
        <v>101.5</v>
      </c>
      <c r="O65" s="4">
        <v>99.8</v>
      </c>
      <c r="P65" s="4">
        <v>100.8</v>
      </c>
      <c r="Q65" s="4">
        <v>97.5</v>
      </c>
      <c r="R65" s="4">
        <v>99.6</v>
      </c>
      <c r="S65" s="4">
        <v>105.9</v>
      </c>
      <c r="T65" s="4">
        <v>103.5</v>
      </c>
      <c r="U65" s="6">
        <v>102</v>
      </c>
      <c r="V65" s="6">
        <v>101.5</v>
      </c>
      <c r="W65">
        <v>101.4</v>
      </c>
      <c r="X65">
        <v>102.3</v>
      </c>
      <c r="Y65">
        <v>100.4</v>
      </c>
    </row>
    <row r="66" spans="1:25">
      <c r="A66" s="4" t="s">
        <v>31</v>
      </c>
      <c r="B66" s="4">
        <v>103.6</v>
      </c>
      <c r="C66" s="4">
        <v>102.5</v>
      </c>
      <c r="D66" s="4">
        <v>100.2</v>
      </c>
      <c r="E66" s="4">
        <v>103.4</v>
      </c>
      <c r="F66" s="4">
        <v>104.5</v>
      </c>
      <c r="G66" s="4">
        <v>102.8</v>
      </c>
      <c r="H66" s="4">
        <v>102.2</v>
      </c>
      <c r="I66" s="4">
        <v>104.4</v>
      </c>
      <c r="J66" s="4">
        <v>111.2</v>
      </c>
      <c r="K66" s="4">
        <v>98</v>
      </c>
      <c r="L66" s="4">
        <v>104.6</v>
      </c>
      <c r="M66" s="4">
        <v>107.1</v>
      </c>
      <c r="N66" s="4">
        <v>100.6</v>
      </c>
      <c r="O66" s="4">
        <v>100.5</v>
      </c>
      <c r="P66" s="4">
        <v>100.3</v>
      </c>
      <c r="Q66" s="4">
        <v>98.3</v>
      </c>
      <c r="R66" s="4">
        <v>99.9</v>
      </c>
      <c r="S66" s="4">
        <v>103.5</v>
      </c>
      <c r="T66" s="4">
        <v>103.7</v>
      </c>
      <c r="U66" s="6">
        <v>102.8</v>
      </c>
      <c r="V66" s="6">
        <v>101.5</v>
      </c>
      <c r="W66">
        <v>101.2</v>
      </c>
      <c r="X66">
        <v>101.8</v>
      </c>
      <c r="Y66">
        <v>100</v>
      </c>
    </row>
    <row r="67" spans="1:20">
      <c r="A67" s="4" t="s">
        <v>34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 t="s">
        <v>35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5">
      <c r="A70" s="6" t="s">
        <v>1</v>
      </c>
      <c r="B70" s="6">
        <v>2000</v>
      </c>
      <c r="C70" s="6">
        <v>2001</v>
      </c>
      <c r="D70" s="6">
        <v>2002</v>
      </c>
      <c r="E70" s="6">
        <v>2003</v>
      </c>
      <c r="F70" s="6">
        <v>2004</v>
      </c>
      <c r="G70" s="6">
        <v>2005</v>
      </c>
      <c r="H70" s="6">
        <v>2006</v>
      </c>
      <c r="I70" s="6">
        <v>2007</v>
      </c>
      <c r="J70" s="6">
        <v>2008</v>
      </c>
      <c r="K70" s="6">
        <v>2009</v>
      </c>
      <c r="L70" s="6">
        <v>2010</v>
      </c>
      <c r="M70" s="6">
        <v>2011</v>
      </c>
      <c r="N70" s="6">
        <v>2012</v>
      </c>
      <c r="O70" s="6">
        <v>2013</v>
      </c>
      <c r="P70" s="6">
        <v>2014</v>
      </c>
      <c r="Q70" s="6">
        <v>2015</v>
      </c>
      <c r="R70" s="6">
        <v>2016</v>
      </c>
      <c r="S70" s="6">
        <v>2017</v>
      </c>
      <c r="T70" s="6">
        <v>2018</v>
      </c>
      <c r="U70" s="6">
        <v>2019</v>
      </c>
      <c r="V70" s="6">
        <v>2020</v>
      </c>
      <c r="W70" s="6">
        <v>2021</v>
      </c>
      <c r="X70">
        <v>2022</v>
      </c>
      <c r="Y70">
        <v>2023</v>
      </c>
    </row>
    <row r="71" spans="1:25">
      <c r="A71" s="4" t="s">
        <v>2</v>
      </c>
      <c r="B71" s="4">
        <v>1</v>
      </c>
      <c r="C71" s="4">
        <f t="shared" ref="C71:C100" si="0">C37/100</f>
        <v>1.006</v>
      </c>
      <c r="D71" s="4">
        <f t="shared" ref="D71:S71" si="1">C71*D37/100</f>
        <v>1.010024</v>
      </c>
      <c r="E71" s="4">
        <f t="shared" si="1"/>
        <v>1.032244528</v>
      </c>
      <c r="F71" s="4">
        <f t="shared" si="1"/>
        <v>1.076631042704</v>
      </c>
      <c r="G71" s="4">
        <f t="shared" si="1"/>
        <v>1.08416746000293</v>
      </c>
      <c r="H71" s="4">
        <f t="shared" si="1"/>
        <v>1.08850412984294</v>
      </c>
      <c r="I71" s="4">
        <f t="shared" si="1"/>
        <v>1.11898224547854</v>
      </c>
      <c r="J71" s="4">
        <f t="shared" si="1"/>
        <v>1.20626286062587</v>
      </c>
      <c r="K71" s="4">
        <f t="shared" si="1"/>
        <v>1.17128123766772</v>
      </c>
      <c r="L71" s="4">
        <f t="shared" si="1"/>
        <v>1.20056326860941</v>
      </c>
      <c r="M71" s="4">
        <f t="shared" si="1"/>
        <v>1.26899537492015</v>
      </c>
      <c r="N71" s="4">
        <f t="shared" si="1"/>
        <v>1.28549231479411</v>
      </c>
      <c r="O71" s="4">
        <f t="shared" si="1"/>
        <v>1.28420682247932</v>
      </c>
      <c r="P71" s="4">
        <f t="shared" si="1"/>
        <v>1.28420682247932</v>
      </c>
      <c r="Q71" s="4">
        <f t="shared" si="1"/>
        <v>1.25338585873981</v>
      </c>
      <c r="R71" s="4">
        <f t="shared" si="1"/>
        <v>1.24962570116359</v>
      </c>
      <c r="S71" s="4">
        <f t="shared" si="1"/>
        <v>1.30835810911828</v>
      </c>
      <c r="T71" s="4">
        <f t="shared" ref="T71" si="2">S71*T37/100</f>
        <v>1.35807571726478</v>
      </c>
      <c r="U71" s="4">
        <f t="shared" ref="U71" si="3">T71*U37/100</f>
        <v>1.38659530732734</v>
      </c>
      <c r="V71" s="4">
        <f t="shared" ref="V71" si="4">U71*V37/100</f>
        <v>1.4101674275519</v>
      </c>
      <c r="W71" s="4">
        <f t="shared" ref="W71:Y71" si="5">V71*W37/100</f>
        <v>1.42567926925497</v>
      </c>
      <c r="X71" s="4">
        <f t="shared" si="5"/>
        <v>1.45134149610156</v>
      </c>
      <c r="Y71" s="4">
        <f t="shared" si="5"/>
        <v>1.45714686208597</v>
      </c>
    </row>
    <row r="72" spans="1:25">
      <c r="A72" s="4" t="s">
        <v>3</v>
      </c>
      <c r="B72" s="4">
        <v>1</v>
      </c>
      <c r="C72" s="4">
        <f t="shared" si="0"/>
        <v>0.997</v>
      </c>
      <c r="D72" s="4">
        <f t="shared" ref="D72:T72" si="6">C72*D38/100</f>
        <v>0.992015</v>
      </c>
      <c r="E72" s="4">
        <f t="shared" si="6"/>
        <v>1.01780739</v>
      </c>
      <c r="F72" s="4">
        <f t="shared" si="6"/>
        <v>1.09210732947</v>
      </c>
      <c r="G72" s="4">
        <f t="shared" si="6"/>
        <v>1.10521261742364</v>
      </c>
      <c r="H72" s="4">
        <f t="shared" si="6"/>
        <v>1.11294910574561</v>
      </c>
      <c r="I72" s="4">
        <f t="shared" si="6"/>
        <v>1.14188578249499</v>
      </c>
      <c r="J72" s="4">
        <f t="shared" si="6"/>
        <v>1.24693927448453</v>
      </c>
      <c r="K72" s="4">
        <f t="shared" si="6"/>
        <v>1.2170127318969</v>
      </c>
      <c r="L72" s="4">
        <f t="shared" si="6"/>
        <v>1.24865506292622</v>
      </c>
      <c r="M72" s="4">
        <f t="shared" si="6"/>
        <v>1.31982840151302</v>
      </c>
      <c r="N72" s="4">
        <f t="shared" si="6"/>
        <v>1.31982840151302</v>
      </c>
      <c r="O72" s="4">
        <f t="shared" si="6"/>
        <v>1.31322925950545</v>
      </c>
      <c r="P72" s="4">
        <f t="shared" si="6"/>
        <v>1.31979540580298</v>
      </c>
      <c r="Q72" s="4">
        <f t="shared" si="6"/>
        <v>1.31847561039718</v>
      </c>
      <c r="R72" s="4">
        <f t="shared" si="6"/>
        <v>1.31056475673479</v>
      </c>
      <c r="S72" s="4">
        <f t="shared" si="6"/>
        <v>1.36691904127439</v>
      </c>
      <c r="T72" s="4">
        <f t="shared" si="6"/>
        <v>1.42843039813174</v>
      </c>
      <c r="U72" s="4">
        <f t="shared" ref="U72:U100" si="7">T72*U38/100</f>
        <v>1.45271371489998</v>
      </c>
      <c r="V72" s="4">
        <f t="shared" ref="V72:V82" si="8">U72*V38/100</f>
        <v>1.48176798919797</v>
      </c>
      <c r="W72" s="4">
        <f>V72*W38/100</f>
        <v>1.50103097305755</v>
      </c>
      <c r="X72" s="4">
        <f t="shared" ref="X72:X100" si="9">W72*X38/100</f>
        <v>1.52955056154564</v>
      </c>
      <c r="Y72" s="4">
        <f t="shared" ref="Y72:Y100" si="10">X72*Y38/100</f>
        <v>1.53566876379182</v>
      </c>
    </row>
    <row r="73" spans="1:25">
      <c r="A73" s="4" t="s">
        <v>4</v>
      </c>
      <c r="B73" s="4">
        <v>1</v>
      </c>
      <c r="C73" s="4">
        <f t="shared" si="0"/>
        <v>0.999</v>
      </c>
      <c r="D73" s="4">
        <f t="shared" ref="D73:T73" si="11">C73*D39/100</f>
        <v>0.994005</v>
      </c>
      <c r="E73" s="4">
        <f t="shared" si="11"/>
        <v>1.016867115</v>
      </c>
      <c r="F73" s="4">
        <f t="shared" si="11"/>
        <v>1.08804781305</v>
      </c>
      <c r="G73" s="4">
        <f t="shared" si="11"/>
        <v>1.10872072149795</v>
      </c>
      <c r="H73" s="4">
        <f t="shared" si="11"/>
        <v>1.12756897376342</v>
      </c>
      <c r="I73" s="4">
        <f t="shared" si="11"/>
        <v>1.17041659476642</v>
      </c>
      <c r="J73" s="4">
        <f t="shared" si="11"/>
        <v>1.282776587864</v>
      </c>
      <c r="K73" s="4">
        <f t="shared" si="11"/>
        <v>1.23787940728876</v>
      </c>
      <c r="L73" s="4">
        <f t="shared" si="11"/>
        <v>1.28368094535845</v>
      </c>
      <c r="M73" s="4">
        <f t="shared" si="11"/>
        <v>1.35428339735316</v>
      </c>
      <c r="N73" s="4">
        <f t="shared" si="11"/>
        <v>1.35834624754522</v>
      </c>
      <c r="O73" s="4">
        <f t="shared" si="11"/>
        <v>1.35698790129767</v>
      </c>
      <c r="P73" s="4">
        <f t="shared" si="11"/>
        <v>1.35970187710027</v>
      </c>
      <c r="Q73" s="4">
        <f t="shared" si="11"/>
        <v>1.33250783955826</v>
      </c>
      <c r="R73" s="4">
        <f t="shared" si="11"/>
        <v>1.32451279252092</v>
      </c>
      <c r="S73" s="4">
        <f t="shared" si="11"/>
        <v>1.41325514961982</v>
      </c>
      <c r="T73" s="4">
        <f t="shared" si="11"/>
        <v>1.48391790710081</v>
      </c>
      <c r="U73" s="4">
        <f t="shared" si="7"/>
        <v>1.52843544431383</v>
      </c>
      <c r="V73" s="4">
        <f t="shared" si="8"/>
        <v>1.56053258864442</v>
      </c>
      <c r="W73" s="4">
        <f t="shared" ref="W73:W82" si="12">V73*W39/100</f>
        <v>1.57613791453087</v>
      </c>
      <c r="X73" s="4">
        <f t="shared" si="9"/>
        <v>1.60450839699242</v>
      </c>
      <c r="Y73" s="4">
        <f t="shared" si="10"/>
        <v>1.61413544737438</v>
      </c>
    </row>
    <row r="74" spans="1:25">
      <c r="A74" s="4" t="s">
        <v>5</v>
      </c>
      <c r="B74" s="4">
        <v>1</v>
      </c>
      <c r="C74" s="4">
        <f t="shared" si="0"/>
        <v>1.017</v>
      </c>
      <c r="D74" s="4">
        <f t="shared" ref="D74:T74" si="13">C74*D40/100</f>
        <v>1.022085</v>
      </c>
      <c r="E74" s="4">
        <f t="shared" si="13"/>
        <v>1.051725465</v>
      </c>
      <c r="F74" s="4">
        <f t="shared" si="13"/>
        <v>1.10641518918</v>
      </c>
      <c r="G74" s="4">
        <f t="shared" si="13"/>
        <v>1.1396076448554</v>
      </c>
      <c r="H74" s="4">
        <f t="shared" si="13"/>
        <v>1.15670175952823</v>
      </c>
      <c r="I74" s="4">
        <f t="shared" si="13"/>
        <v>1.20412653166889</v>
      </c>
      <c r="J74" s="4">
        <f t="shared" si="13"/>
        <v>1.36427536038085</v>
      </c>
      <c r="K74" s="4">
        <f t="shared" si="13"/>
        <v>1.33835412853362</v>
      </c>
      <c r="L74" s="4">
        <f t="shared" si="13"/>
        <v>1.38787323128936</v>
      </c>
      <c r="M74" s="4">
        <f t="shared" si="13"/>
        <v>1.46420625901027</v>
      </c>
      <c r="N74" s="4">
        <f t="shared" si="13"/>
        <v>1.4817767341184</v>
      </c>
      <c r="O74" s="4">
        <f t="shared" si="13"/>
        <v>1.48918561778899</v>
      </c>
      <c r="P74" s="4">
        <f t="shared" si="13"/>
        <v>1.48322887531783</v>
      </c>
      <c r="Q74" s="4">
        <f t="shared" si="13"/>
        <v>1.45653075556211</v>
      </c>
      <c r="R74" s="4">
        <f t="shared" si="13"/>
        <v>1.45653075556211</v>
      </c>
      <c r="S74" s="4">
        <f t="shared" si="13"/>
        <v>1.54829219316252</v>
      </c>
      <c r="T74" s="4">
        <f t="shared" si="13"/>
        <v>1.61796534185484</v>
      </c>
      <c r="U74" s="4">
        <f t="shared" si="7"/>
        <v>1.68268395552903</v>
      </c>
      <c r="V74" s="4">
        <f t="shared" si="8"/>
        <v>1.73148179023937</v>
      </c>
      <c r="W74" s="4">
        <f t="shared" si="12"/>
        <v>1.74879660814177</v>
      </c>
      <c r="X74" s="4">
        <f t="shared" si="9"/>
        <v>1.78552133691274</v>
      </c>
      <c r="Y74" s="4">
        <f t="shared" si="10"/>
        <v>1.78373581557583</v>
      </c>
    </row>
    <row r="75" spans="1:25">
      <c r="A75" s="4" t="s">
        <v>6</v>
      </c>
      <c r="B75" s="4">
        <v>1</v>
      </c>
      <c r="C75" s="4">
        <f t="shared" si="0"/>
        <v>1.008</v>
      </c>
      <c r="D75" s="4">
        <f t="shared" ref="D75:T75" si="14">C75*D41/100</f>
        <v>1.01808</v>
      </c>
      <c r="E75" s="4">
        <f t="shared" si="14"/>
        <v>1.04455008</v>
      </c>
      <c r="F75" s="4">
        <f t="shared" si="14"/>
        <v>1.096777584</v>
      </c>
      <c r="G75" s="4">
        <f t="shared" si="14"/>
        <v>1.137358354608</v>
      </c>
      <c r="H75" s="4">
        <f t="shared" si="14"/>
        <v>1.17489118031006</v>
      </c>
      <c r="I75" s="4">
        <f t="shared" si="14"/>
        <v>1.21953704516185</v>
      </c>
      <c r="J75" s="4">
        <f t="shared" si="14"/>
        <v>1.31831954581996</v>
      </c>
      <c r="K75" s="4">
        <f t="shared" si="14"/>
        <v>1.29854475263266</v>
      </c>
      <c r="L75" s="4">
        <f t="shared" si="14"/>
        <v>1.36866616927482</v>
      </c>
      <c r="M75" s="4">
        <f t="shared" si="14"/>
        <v>1.45489213793913</v>
      </c>
      <c r="N75" s="4">
        <f t="shared" si="14"/>
        <v>1.47817041214616</v>
      </c>
      <c r="O75" s="4">
        <f t="shared" si="14"/>
        <v>1.47225773049758</v>
      </c>
      <c r="P75" s="4">
        <f t="shared" si="14"/>
        <v>1.46931321503658</v>
      </c>
      <c r="Q75" s="4">
        <f t="shared" si="14"/>
        <v>1.43992695073585</v>
      </c>
      <c r="R75" s="4">
        <f t="shared" si="14"/>
        <v>1.43272731598217</v>
      </c>
      <c r="S75" s="4">
        <f t="shared" si="14"/>
        <v>1.48144004472556</v>
      </c>
      <c r="T75" s="4">
        <f t="shared" si="14"/>
        <v>1.53477188633568</v>
      </c>
      <c r="U75" s="4">
        <f t="shared" si="7"/>
        <v>1.56086300840339</v>
      </c>
      <c r="V75" s="4">
        <f t="shared" si="8"/>
        <v>1.59051940556305</v>
      </c>
      <c r="W75" s="4">
        <f t="shared" si="12"/>
        <v>1.60483408021312</v>
      </c>
      <c r="X75" s="4">
        <f t="shared" si="9"/>
        <v>1.63372109365696</v>
      </c>
      <c r="Y75" s="4">
        <f t="shared" si="10"/>
        <v>1.6435234202189</v>
      </c>
    </row>
    <row r="76" spans="1:25">
      <c r="A76" s="4" t="s">
        <v>7</v>
      </c>
      <c r="B76" s="4">
        <v>1</v>
      </c>
      <c r="C76" s="4">
        <f t="shared" si="0"/>
        <v>1.004</v>
      </c>
      <c r="D76" s="4">
        <f t="shared" ref="D76:T76" si="15">C76*D42/100</f>
        <v>1.011028</v>
      </c>
      <c r="E76" s="4">
        <f t="shared" si="15"/>
        <v>1.0363037</v>
      </c>
      <c r="F76" s="4">
        <f t="shared" si="15"/>
        <v>1.0860462776</v>
      </c>
      <c r="G76" s="4">
        <f t="shared" si="15"/>
        <v>1.1164555733728</v>
      </c>
      <c r="H76" s="4">
        <f t="shared" si="15"/>
        <v>1.13990114041363</v>
      </c>
      <c r="I76" s="4">
        <f t="shared" si="15"/>
        <v>1.18891688945141</v>
      </c>
      <c r="J76" s="4">
        <f t="shared" si="15"/>
        <v>1.29710832639149</v>
      </c>
      <c r="K76" s="4">
        <f t="shared" si="15"/>
        <v>1.25819507659975</v>
      </c>
      <c r="L76" s="4">
        <f t="shared" si="15"/>
        <v>1.29971551412754</v>
      </c>
      <c r="M76" s="4">
        <f t="shared" si="15"/>
        <v>1.38549673805996</v>
      </c>
      <c r="N76" s="4">
        <f t="shared" si="15"/>
        <v>1.39935170544056</v>
      </c>
      <c r="O76" s="4">
        <f t="shared" si="15"/>
        <v>1.39935170544056</v>
      </c>
      <c r="P76" s="4">
        <f t="shared" si="15"/>
        <v>1.39515365032424</v>
      </c>
      <c r="Q76" s="4">
        <f t="shared" si="15"/>
        <v>1.36585542366743</v>
      </c>
      <c r="R76" s="4">
        <f t="shared" si="15"/>
        <v>1.35492858027809</v>
      </c>
      <c r="S76" s="4">
        <f t="shared" si="15"/>
        <v>1.40912572348921</v>
      </c>
      <c r="T76" s="4">
        <f t="shared" si="15"/>
        <v>1.45844512381133</v>
      </c>
      <c r="U76" s="4">
        <f t="shared" si="7"/>
        <v>1.50365692264948</v>
      </c>
      <c r="V76" s="4">
        <f t="shared" si="8"/>
        <v>1.53974468879307</v>
      </c>
      <c r="W76" s="4">
        <f t="shared" si="12"/>
        <v>1.5566818803698</v>
      </c>
      <c r="X76" s="4">
        <f t="shared" si="9"/>
        <v>1.58781551797719</v>
      </c>
      <c r="Y76" s="4">
        <f t="shared" si="10"/>
        <v>1.58940333349517</v>
      </c>
    </row>
    <row r="77" spans="1:25">
      <c r="A77" s="4" t="s">
        <v>8</v>
      </c>
      <c r="B77" s="4">
        <v>1</v>
      </c>
      <c r="C77" s="4">
        <f t="shared" si="0"/>
        <v>1.011</v>
      </c>
      <c r="D77" s="4">
        <f t="shared" ref="D77:T77" si="16">C77*D43/100</f>
        <v>1.023132</v>
      </c>
      <c r="E77" s="4">
        <f t="shared" si="16"/>
        <v>1.034386452</v>
      </c>
      <c r="F77" s="4">
        <f t="shared" si="16"/>
        <v>1.076796296532</v>
      </c>
      <c r="G77" s="4">
        <f t="shared" si="16"/>
        <v>1.09833222246264</v>
      </c>
      <c r="H77" s="4">
        <f t="shared" si="16"/>
        <v>1.12249553135682</v>
      </c>
      <c r="I77" s="4">
        <f t="shared" si="16"/>
        <v>1.16627285707973</v>
      </c>
      <c r="J77" s="4">
        <f t="shared" si="16"/>
        <v>1.25141077564655</v>
      </c>
      <c r="K77" s="4">
        <f t="shared" si="16"/>
        <v>1.24390231099268</v>
      </c>
      <c r="L77" s="4">
        <f t="shared" si="16"/>
        <v>1.2737559664565</v>
      </c>
      <c r="M77" s="4">
        <f t="shared" si="16"/>
        <v>1.34508630057806</v>
      </c>
      <c r="N77" s="4">
        <f t="shared" si="16"/>
        <v>1.35046664578038</v>
      </c>
      <c r="O77" s="4">
        <f t="shared" si="16"/>
        <v>1.35046664578038</v>
      </c>
      <c r="P77" s="4">
        <f t="shared" si="16"/>
        <v>1.35316757907194</v>
      </c>
      <c r="Q77" s="4">
        <f t="shared" si="16"/>
        <v>1.32069155717421</v>
      </c>
      <c r="R77" s="4">
        <f t="shared" si="16"/>
        <v>1.30352256693094</v>
      </c>
      <c r="S77" s="4">
        <f t="shared" si="16"/>
        <v>1.3647881275767</v>
      </c>
      <c r="T77" s="4">
        <f t="shared" si="16"/>
        <v>1.42756838144523</v>
      </c>
      <c r="U77" s="4">
        <f t="shared" si="7"/>
        <v>1.4646851593628</v>
      </c>
      <c r="V77" s="4">
        <f t="shared" si="8"/>
        <v>1.49837291802815</v>
      </c>
      <c r="W77" s="4">
        <f t="shared" si="12"/>
        <v>1.50736315553632</v>
      </c>
      <c r="X77" s="4">
        <f t="shared" si="9"/>
        <v>1.53901778180258</v>
      </c>
      <c r="Y77" s="4">
        <f t="shared" si="10"/>
        <v>1.53747876402078</v>
      </c>
    </row>
    <row r="78" spans="1:25">
      <c r="A78" s="4" t="s">
        <v>9</v>
      </c>
      <c r="B78" s="4">
        <v>1</v>
      </c>
      <c r="C78" s="4">
        <f t="shared" si="0"/>
        <v>1.001</v>
      </c>
      <c r="D78" s="4">
        <f t="shared" ref="D78:T78" si="17">C78*D44/100</f>
        <v>1.003002</v>
      </c>
      <c r="E78" s="4">
        <f t="shared" si="17"/>
        <v>1.026071046</v>
      </c>
      <c r="F78" s="4">
        <f t="shared" si="17"/>
        <v>1.0773745983</v>
      </c>
      <c r="G78" s="4">
        <f t="shared" si="17"/>
        <v>1.1010768394626</v>
      </c>
      <c r="H78" s="4">
        <f t="shared" si="17"/>
        <v>1.12419945309131</v>
      </c>
      <c r="I78" s="4">
        <f t="shared" si="17"/>
        <v>1.17478842848042</v>
      </c>
      <c r="J78" s="4">
        <f t="shared" si="17"/>
        <v>1.28051938704366</v>
      </c>
      <c r="K78" s="4">
        <f t="shared" si="17"/>
        <v>1.24978692175461</v>
      </c>
      <c r="L78" s="4">
        <f t="shared" si="17"/>
        <v>1.31477584168585</v>
      </c>
      <c r="M78" s="4">
        <f t="shared" si="17"/>
        <v>1.41338402981229</v>
      </c>
      <c r="N78" s="4">
        <f t="shared" si="17"/>
        <v>1.42469110205079</v>
      </c>
      <c r="O78" s="4">
        <f t="shared" si="17"/>
        <v>1.42611579315284</v>
      </c>
      <c r="P78" s="4">
        <f t="shared" si="17"/>
        <v>1.42611579315284</v>
      </c>
      <c r="Q78" s="4">
        <f t="shared" si="17"/>
        <v>1.41185463522131</v>
      </c>
      <c r="R78" s="4">
        <f t="shared" si="17"/>
        <v>1.40338350740999</v>
      </c>
      <c r="S78" s="4">
        <f t="shared" si="17"/>
        <v>1.45109854666193</v>
      </c>
      <c r="T78" s="4">
        <f t="shared" si="17"/>
        <v>1.49898479870177</v>
      </c>
      <c r="U78" s="4">
        <f t="shared" si="7"/>
        <v>1.51097667709138</v>
      </c>
      <c r="V78" s="4">
        <f t="shared" si="8"/>
        <v>1.54572914066448</v>
      </c>
      <c r="W78" s="4">
        <f t="shared" si="12"/>
        <v>1.55500351550847</v>
      </c>
      <c r="X78" s="4">
        <f t="shared" si="9"/>
        <v>1.58454858230313</v>
      </c>
      <c r="Y78" s="4">
        <f t="shared" si="10"/>
        <v>1.59405587379695</v>
      </c>
    </row>
    <row r="79" spans="1:25">
      <c r="A79" s="4" t="s">
        <v>10</v>
      </c>
      <c r="B79" s="4">
        <v>1</v>
      </c>
      <c r="C79" s="4">
        <f t="shared" si="0"/>
        <v>1.007</v>
      </c>
      <c r="D79" s="4">
        <f t="shared" ref="D79:T79" si="18">C79*D45/100</f>
        <v>1.010021</v>
      </c>
      <c r="E79" s="4">
        <f t="shared" si="18"/>
        <v>1.034261504</v>
      </c>
      <c r="F79" s="4">
        <f t="shared" si="18"/>
        <v>1.103557024768</v>
      </c>
      <c r="G79" s="4">
        <f t="shared" si="18"/>
        <v>1.11238548096614</v>
      </c>
      <c r="H79" s="4">
        <f t="shared" si="18"/>
        <v>1.11349786644711</v>
      </c>
      <c r="I79" s="4">
        <f t="shared" si="18"/>
        <v>1.15247029177276</v>
      </c>
      <c r="J79" s="4">
        <f t="shared" si="18"/>
        <v>1.24351544482281</v>
      </c>
      <c r="K79" s="4">
        <f t="shared" si="18"/>
        <v>1.20620998147812</v>
      </c>
      <c r="L79" s="4">
        <f t="shared" si="18"/>
        <v>1.25204596077429</v>
      </c>
      <c r="M79" s="4">
        <f t="shared" si="18"/>
        <v>1.33342894822462</v>
      </c>
      <c r="N79" s="4">
        <f t="shared" si="18"/>
        <v>1.32542837453527</v>
      </c>
      <c r="O79" s="4">
        <f t="shared" si="18"/>
        <v>1.32807923128434</v>
      </c>
      <c r="P79" s="4">
        <f t="shared" si="18"/>
        <v>1.33471962744076</v>
      </c>
      <c r="Q79" s="4">
        <f t="shared" si="18"/>
        <v>1.29467803861754</v>
      </c>
      <c r="R79" s="4">
        <f t="shared" si="18"/>
        <v>1.28949932646307</v>
      </c>
      <c r="S79" s="4">
        <f t="shared" si="18"/>
        <v>1.3758957813361</v>
      </c>
      <c r="T79" s="4">
        <f t="shared" si="18"/>
        <v>1.45294594509092</v>
      </c>
      <c r="U79" s="4">
        <f t="shared" si="7"/>
        <v>1.47328718832219</v>
      </c>
      <c r="V79" s="4">
        <f t="shared" si="8"/>
        <v>1.49833307052367</v>
      </c>
      <c r="W79" s="4">
        <f t="shared" si="12"/>
        <v>1.51631306736995</v>
      </c>
      <c r="X79" s="4">
        <f t="shared" si="9"/>
        <v>1.5542208940542</v>
      </c>
      <c r="Y79" s="4">
        <f t="shared" si="10"/>
        <v>1.55888355673636</v>
      </c>
    </row>
    <row r="80" spans="1:26">
      <c r="A80" s="4" t="s">
        <v>11</v>
      </c>
      <c r="B80" s="4">
        <v>1</v>
      </c>
      <c r="C80" s="4">
        <f t="shared" si="0"/>
        <v>1.008</v>
      </c>
      <c r="D80" s="4">
        <f t="shared" ref="D80:T80" si="19">C80*D46/100</f>
        <v>1.025136</v>
      </c>
      <c r="E80" s="4">
        <f t="shared" si="19"/>
        <v>1.069216848</v>
      </c>
      <c r="F80" s="4">
        <f t="shared" si="19"/>
        <v>1.169723231712</v>
      </c>
      <c r="G80" s="4">
        <f t="shared" si="19"/>
        <v>1.18025074079741</v>
      </c>
      <c r="H80" s="4">
        <f t="shared" si="19"/>
        <v>1.19441374968698</v>
      </c>
      <c r="I80" s="4">
        <f t="shared" si="19"/>
        <v>1.25294002342164</v>
      </c>
      <c r="J80" s="4">
        <f t="shared" si="19"/>
        <v>1.3782340257638</v>
      </c>
      <c r="K80" s="4">
        <f t="shared" si="19"/>
        <v>1.34653464317124</v>
      </c>
      <c r="L80" s="4">
        <f t="shared" si="19"/>
        <v>1.41520790997297</v>
      </c>
      <c r="M80" s="4">
        <f t="shared" si="19"/>
        <v>1.51144204785113</v>
      </c>
      <c r="N80" s="4">
        <f t="shared" si="19"/>
        <v>1.49028185918121</v>
      </c>
      <c r="O80" s="4">
        <f t="shared" si="19"/>
        <v>1.49773326847712</v>
      </c>
      <c r="P80" s="4">
        <f t="shared" si="19"/>
        <v>1.51420833443037</v>
      </c>
      <c r="Q80" s="4">
        <f t="shared" si="19"/>
        <v>1.45666841772201</v>
      </c>
      <c r="R80" s="4">
        <f t="shared" si="19"/>
        <v>1.43918839670935</v>
      </c>
      <c r="S80" s="4">
        <f t="shared" si="19"/>
        <v>1.54856671485926</v>
      </c>
      <c r="T80" s="4">
        <f t="shared" si="19"/>
        <v>1.64148071775082</v>
      </c>
      <c r="U80" s="4">
        <f t="shared" si="7"/>
        <v>1.66281996708158</v>
      </c>
      <c r="V80" s="4">
        <f t="shared" si="8"/>
        <v>1.70439046625862</v>
      </c>
      <c r="W80" s="4">
        <f t="shared" si="12"/>
        <v>1.73166071371875</v>
      </c>
      <c r="X80" s="4">
        <f t="shared" si="9"/>
        <v>1.76975724942057</v>
      </c>
      <c r="Y80" s="4">
        <f t="shared" si="10"/>
        <v>1.77683627841825</v>
      </c>
      <c r="Z80" s="7"/>
    </row>
    <row r="81" spans="1:25">
      <c r="A81" s="4" t="s">
        <v>12</v>
      </c>
      <c r="B81" s="4">
        <v>1</v>
      </c>
      <c r="C81" s="4">
        <f t="shared" si="0"/>
        <v>1.004</v>
      </c>
      <c r="D81" s="4">
        <f t="shared" ref="D81:T81" si="20">C81*D47/100</f>
        <v>1.00902</v>
      </c>
      <c r="E81" s="4">
        <f t="shared" si="20"/>
        <v>1.0443357</v>
      </c>
      <c r="F81" s="4">
        <f t="shared" si="20"/>
        <v>1.1059515063</v>
      </c>
      <c r="G81" s="4">
        <f t="shared" si="20"/>
        <v>1.1092693608189</v>
      </c>
      <c r="H81" s="4">
        <f t="shared" si="20"/>
        <v>1.12590840123118</v>
      </c>
      <c r="I81" s="4">
        <f t="shared" si="20"/>
        <v>1.17544837088536</v>
      </c>
      <c r="J81" s="4">
        <f t="shared" si="20"/>
        <v>1.28476506937769</v>
      </c>
      <c r="K81" s="4">
        <f t="shared" si="20"/>
        <v>1.24236782208823</v>
      </c>
      <c r="L81" s="4">
        <f t="shared" si="20"/>
        <v>1.30075910972638</v>
      </c>
      <c r="M81" s="4">
        <f t="shared" si="20"/>
        <v>1.39831604295586</v>
      </c>
      <c r="N81" s="4">
        <f t="shared" si="20"/>
        <v>1.38712951461221</v>
      </c>
      <c r="O81" s="4">
        <f t="shared" si="20"/>
        <v>1.38712951461221</v>
      </c>
      <c r="P81" s="4">
        <f t="shared" si="20"/>
        <v>1.39545229169988</v>
      </c>
      <c r="Q81" s="4">
        <f t="shared" si="20"/>
        <v>1.35917053211568</v>
      </c>
      <c r="R81" s="4">
        <f t="shared" si="20"/>
        <v>1.35237467945511</v>
      </c>
      <c r="S81" s="4">
        <f t="shared" si="20"/>
        <v>1.4308124108635</v>
      </c>
      <c r="T81" s="4">
        <f t="shared" si="20"/>
        <v>1.51236871828272</v>
      </c>
      <c r="U81" s="4">
        <f t="shared" si="7"/>
        <v>1.54412846136666</v>
      </c>
      <c r="V81" s="4">
        <f t="shared" si="8"/>
        <v>1.57964341597809</v>
      </c>
      <c r="W81" s="4">
        <f t="shared" si="12"/>
        <v>1.60333806721776</v>
      </c>
      <c r="X81" s="4">
        <f t="shared" si="9"/>
        <v>1.63861150469655</v>
      </c>
      <c r="Y81" s="4">
        <f t="shared" si="10"/>
        <v>1.64352733921064</v>
      </c>
    </row>
    <row r="82" spans="1:25">
      <c r="A82" s="4" t="s">
        <v>13</v>
      </c>
      <c r="B82" s="4">
        <v>1</v>
      </c>
      <c r="C82" s="4">
        <f t="shared" si="0"/>
        <v>0.995</v>
      </c>
      <c r="D82" s="4">
        <f t="shared" ref="D82:T82" si="21">C82*D48/100</f>
        <v>1.005945</v>
      </c>
      <c r="E82" s="4">
        <f t="shared" si="21"/>
        <v>1.041153075</v>
      </c>
      <c r="F82" s="4">
        <f t="shared" si="21"/>
        <v>1.104663412575</v>
      </c>
      <c r="G82" s="4">
        <f t="shared" si="21"/>
        <v>1.11571004670075</v>
      </c>
      <c r="H82" s="4">
        <f t="shared" si="21"/>
        <v>1.13690853758806</v>
      </c>
      <c r="I82" s="4">
        <f t="shared" si="21"/>
        <v>1.19830159861782</v>
      </c>
      <c r="J82" s="4">
        <f t="shared" si="21"/>
        <v>1.31094194888789</v>
      </c>
      <c r="K82" s="4">
        <f t="shared" si="21"/>
        <v>1.25850427093238</v>
      </c>
      <c r="L82" s="4">
        <f t="shared" si="21"/>
        <v>1.32646350156273</v>
      </c>
      <c r="M82" s="4">
        <f t="shared" si="21"/>
        <v>1.43390704518931</v>
      </c>
      <c r="N82" s="4">
        <f t="shared" si="21"/>
        <v>1.4482461156412</v>
      </c>
      <c r="O82" s="4">
        <f t="shared" si="21"/>
        <v>1.45114260787248</v>
      </c>
      <c r="P82" s="4">
        <f t="shared" si="21"/>
        <v>1.4554960356961</v>
      </c>
      <c r="Q82" s="4">
        <f t="shared" si="21"/>
        <v>1.41037565858952</v>
      </c>
      <c r="R82" s="4">
        <f t="shared" si="21"/>
        <v>1.39909265332081</v>
      </c>
      <c r="S82" s="4">
        <f t="shared" si="21"/>
        <v>1.50262550966655</v>
      </c>
      <c r="T82" s="4">
        <f t="shared" si="21"/>
        <v>1.58977778922721</v>
      </c>
      <c r="U82" s="4">
        <f t="shared" si="7"/>
        <v>1.62634267837943</v>
      </c>
      <c r="V82" s="4">
        <f t="shared" si="8"/>
        <v>1.67025393069568</v>
      </c>
      <c r="W82" s="4">
        <f t="shared" si="12"/>
        <v>1.68528621607194</v>
      </c>
      <c r="X82" s="4">
        <f t="shared" si="9"/>
        <v>1.71899194039338</v>
      </c>
      <c r="Y82" s="4">
        <f t="shared" si="10"/>
        <v>1.72242992427416</v>
      </c>
    </row>
    <row r="83" spans="1:25">
      <c r="A83" s="4" t="s">
        <v>14</v>
      </c>
      <c r="B83" s="4">
        <v>1</v>
      </c>
      <c r="C83" s="4">
        <f t="shared" si="0"/>
        <v>0.995</v>
      </c>
      <c r="D83" s="4">
        <f t="shared" ref="D83:T83" si="22">C83*D49/100</f>
        <v>0.992015</v>
      </c>
      <c r="E83" s="4">
        <f t="shared" si="22"/>
        <v>1.00590321</v>
      </c>
      <c r="F83" s="4">
        <f t="shared" si="22"/>
        <v>1.04010391914</v>
      </c>
      <c r="G83" s="4">
        <f t="shared" si="22"/>
        <v>1.04738464657398</v>
      </c>
      <c r="H83" s="4">
        <f t="shared" si="22"/>
        <v>1.06833233950546</v>
      </c>
      <c r="I83" s="4">
        <f t="shared" si="22"/>
        <v>1.13136394753628</v>
      </c>
      <c r="J83" s="4">
        <f t="shared" si="22"/>
        <v>1.19811442044092</v>
      </c>
      <c r="K83" s="4">
        <f t="shared" si="22"/>
        <v>1.1741521320321</v>
      </c>
      <c r="L83" s="4">
        <f t="shared" si="22"/>
        <v>1.21289915238916</v>
      </c>
      <c r="M83" s="4">
        <f t="shared" si="22"/>
        <v>1.28809889983729</v>
      </c>
      <c r="N83" s="4">
        <f t="shared" si="22"/>
        <v>1.2919631965368</v>
      </c>
      <c r="O83" s="4">
        <f t="shared" si="22"/>
        <v>1.29325515973334</v>
      </c>
      <c r="P83" s="4">
        <f t="shared" si="22"/>
        <v>1.29842818037227</v>
      </c>
      <c r="Q83" s="4">
        <f t="shared" si="22"/>
        <v>1.27635490130594</v>
      </c>
      <c r="R83" s="4">
        <f t="shared" si="22"/>
        <v>1.27635490130594</v>
      </c>
      <c r="S83" s="4">
        <f t="shared" si="22"/>
        <v>1.34783077577908</v>
      </c>
      <c r="T83" s="4">
        <f t="shared" si="22"/>
        <v>1.41387448379225</v>
      </c>
      <c r="U83" s="4">
        <f t="shared" si="7"/>
        <v>1.43508260104914</v>
      </c>
      <c r="V83" s="4">
        <f t="shared" ref="V83:V100" si="23">U83*V49/100</f>
        <v>1.46665441827222</v>
      </c>
      <c r="W83" s="4">
        <f t="shared" ref="W83:W100" si="24">V83*W49/100</f>
        <v>1.47692099920012</v>
      </c>
      <c r="X83" s="4">
        <f t="shared" si="9"/>
        <v>1.50498249818493</v>
      </c>
      <c r="Y83" s="4">
        <f t="shared" si="10"/>
        <v>1.50498249818493</v>
      </c>
    </row>
    <row r="84" spans="1:25">
      <c r="A84" s="4" t="s">
        <v>15</v>
      </c>
      <c r="B84" s="4">
        <v>1</v>
      </c>
      <c r="C84" s="4">
        <f t="shared" si="0"/>
        <v>0.989</v>
      </c>
      <c r="D84" s="4">
        <f t="shared" ref="D84:T84" si="25">C84*D50/100</f>
        <v>0.989</v>
      </c>
      <c r="E84" s="4">
        <f t="shared" si="25"/>
        <v>1.039439</v>
      </c>
      <c r="F84" s="4">
        <f t="shared" si="25"/>
        <v>1.116357486</v>
      </c>
      <c r="G84" s="4">
        <f t="shared" si="25"/>
        <v>1.12193927343</v>
      </c>
      <c r="H84" s="4">
        <f t="shared" si="25"/>
        <v>1.15784133017976</v>
      </c>
      <c r="I84" s="4">
        <f t="shared" si="25"/>
        <v>1.22036476200947</v>
      </c>
      <c r="J84" s="4">
        <f t="shared" si="25"/>
        <v>1.34728269725845</v>
      </c>
      <c r="K84" s="4">
        <f t="shared" si="25"/>
        <v>1.29473867206537</v>
      </c>
      <c r="L84" s="4">
        <f t="shared" si="25"/>
        <v>1.35688612832451</v>
      </c>
      <c r="M84" s="4">
        <f t="shared" si="25"/>
        <v>1.47086456310377</v>
      </c>
      <c r="N84" s="4">
        <f t="shared" si="25"/>
        <v>1.48557320873481</v>
      </c>
      <c r="O84" s="4">
        <f t="shared" si="25"/>
        <v>1.49151550156975</v>
      </c>
      <c r="P84" s="4">
        <f t="shared" si="25"/>
        <v>1.49300701707132</v>
      </c>
      <c r="Q84" s="4">
        <f t="shared" si="25"/>
        <v>1.44523079252503</v>
      </c>
      <c r="R84" s="4">
        <f t="shared" si="25"/>
        <v>1.44523079252503</v>
      </c>
      <c r="S84" s="4">
        <f t="shared" si="25"/>
        <v>1.53338987086906</v>
      </c>
      <c r="T84" s="4">
        <f t="shared" si="25"/>
        <v>1.63152682260468</v>
      </c>
      <c r="U84" s="4">
        <f t="shared" si="7"/>
        <v>1.67068346634719</v>
      </c>
      <c r="V84" s="4">
        <f t="shared" si="23"/>
        <v>1.71412123647222</v>
      </c>
      <c r="W84" s="4">
        <f t="shared" si="24"/>
        <v>1.72954832760047</v>
      </c>
      <c r="X84" s="4">
        <f t="shared" si="9"/>
        <v>1.76413929415248</v>
      </c>
      <c r="Y84" s="4">
        <f t="shared" si="10"/>
        <v>1.76943171203494</v>
      </c>
    </row>
    <row r="85" spans="1:25">
      <c r="A85" s="4" t="s">
        <v>16</v>
      </c>
      <c r="B85" s="4">
        <v>1</v>
      </c>
      <c r="C85" s="4">
        <f t="shared" si="0"/>
        <v>1.014</v>
      </c>
      <c r="D85" s="4">
        <f t="shared" ref="D85:T85" si="26">C85*D51/100</f>
        <v>1.025154</v>
      </c>
      <c r="E85" s="4">
        <f t="shared" si="26"/>
        <v>1.054883466</v>
      </c>
      <c r="F85" s="4">
        <f t="shared" si="26"/>
        <v>1.132944842484</v>
      </c>
      <c r="G85" s="4">
        <f t="shared" si="26"/>
        <v>1.16580024291604</v>
      </c>
      <c r="H85" s="4">
        <f t="shared" si="26"/>
        <v>1.18678464728852</v>
      </c>
      <c r="I85" s="4">
        <f t="shared" si="26"/>
        <v>1.23425603318007</v>
      </c>
      <c r="J85" s="4">
        <f t="shared" si="26"/>
        <v>1.32929374773493</v>
      </c>
      <c r="K85" s="4">
        <f t="shared" si="26"/>
        <v>1.28808564155515</v>
      </c>
      <c r="L85" s="4">
        <f t="shared" si="26"/>
        <v>1.33445672465113</v>
      </c>
      <c r="M85" s="4">
        <f t="shared" si="26"/>
        <v>1.42519978192741</v>
      </c>
      <c r="N85" s="4">
        <f t="shared" si="26"/>
        <v>1.43660138018283</v>
      </c>
      <c r="O85" s="4">
        <f t="shared" si="26"/>
        <v>1.44234778570356</v>
      </c>
      <c r="P85" s="4">
        <f t="shared" si="26"/>
        <v>1.44667482906067</v>
      </c>
      <c r="Q85" s="4">
        <f t="shared" si="26"/>
        <v>1.41340130799228</v>
      </c>
      <c r="R85" s="4">
        <f t="shared" si="26"/>
        <v>1.40068069622035</v>
      </c>
      <c r="S85" s="4">
        <f t="shared" si="26"/>
        <v>1.48192017660113</v>
      </c>
      <c r="T85" s="4">
        <f t="shared" si="26"/>
        <v>1.57231730737379</v>
      </c>
      <c r="U85" s="4">
        <f t="shared" si="7"/>
        <v>1.61634219198026</v>
      </c>
      <c r="V85" s="4">
        <f t="shared" si="23"/>
        <v>1.66159977335571</v>
      </c>
      <c r="W85" s="4">
        <f t="shared" si="24"/>
        <v>1.68153897063598</v>
      </c>
      <c r="X85" s="4">
        <f t="shared" si="9"/>
        <v>1.71012513313679</v>
      </c>
      <c r="Y85" s="4">
        <f t="shared" si="10"/>
        <v>1.71183525826992</v>
      </c>
    </row>
    <row r="86" spans="1:25">
      <c r="A86" s="4" t="s">
        <v>17</v>
      </c>
      <c r="B86" s="4">
        <v>1</v>
      </c>
      <c r="C86" s="4">
        <f t="shared" si="0"/>
        <v>1.004</v>
      </c>
      <c r="D86" s="4">
        <f t="shared" ref="D86:T86" si="27">C86*D52/100</f>
        <v>0.990948</v>
      </c>
      <c r="E86" s="4">
        <f t="shared" si="27"/>
        <v>1.028604024</v>
      </c>
      <c r="F86" s="4">
        <f t="shared" si="27"/>
        <v>1.132493030424</v>
      </c>
      <c r="G86" s="4">
        <f t="shared" si="27"/>
        <v>1.14834793284994</v>
      </c>
      <c r="H86" s="4">
        <f t="shared" si="27"/>
        <v>1.16672149977554</v>
      </c>
      <c r="I86" s="4">
        <f t="shared" si="27"/>
        <v>1.22039068876521</v>
      </c>
      <c r="J86" s="4">
        <f t="shared" si="27"/>
        <v>1.33022585075408</v>
      </c>
      <c r="K86" s="4">
        <f t="shared" si="27"/>
        <v>1.28233772012693</v>
      </c>
      <c r="L86" s="4">
        <f t="shared" si="27"/>
        <v>1.32721954033137</v>
      </c>
      <c r="M86" s="4">
        <f t="shared" si="27"/>
        <v>1.4254337863159</v>
      </c>
      <c r="N86" s="4">
        <f t="shared" si="27"/>
        <v>1.43968812417905</v>
      </c>
      <c r="O86" s="4">
        <f t="shared" si="27"/>
        <v>1.43824843605488</v>
      </c>
      <c r="P86" s="4">
        <f t="shared" si="27"/>
        <v>1.43824843605488</v>
      </c>
      <c r="Q86" s="4">
        <f t="shared" si="27"/>
        <v>1.40373047358956</v>
      </c>
      <c r="R86" s="4">
        <f t="shared" si="27"/>
        <v>1.39250062980084</v>
      </c>
      <c r="S86" s="4">
        <f t="shared" si="27"/>
        <v>1.4955456764061</v>
      </c>
      <c r="T86" s="4">
        <f t="shared" si="27"/>
        <v>1.57630514293203</v>
      </c>
      <c r="U86" s="4">
        <f t="shared" si="7"/>
        <v>1.62674690750586</v>
      </c>
      <c r="V86" s="4">
        <f t="shared" si="23"/>
        <v>1.67229582091602</v>
      </c>
      <c r="W86" s="4">
        <f t="shared" si="24"/>
        <v>1.68734648330427</v>
      </c>
      <c r="X86" s="4">
        <f t="shared" si="9"/>
        <v>1.71265668055383</v>
      </c>
      <c r="Y86" s="4">
        <f t="shared" si="10"/>
        <v>1.70923136719272</v>
      </c>
    </row>
    <row r="87" spans="1:25">
      <c r="A87" s="4" t="s">
        <v>18</v>
      </c>
      <c r="B87" s="4">
        <v>1</v>
      </c>
      <c r="C87" s="4">
        <f t="shared" si="0"/>
        <v>1.001</v>
      </c>
      <c r="D87" s="4">
        <f t="shared" ref="D87:T87" si="28">C87*D53/100</f>
        <v>0.998998</v>
      </c>
      <c r="E87" s="4">
        <f t="shared" si="28"/>
        <v>1.031964934</v>
      </c>
      <c r="F87" s="4">
        <f t="shared" si="28"/>
        <v>1.09388283004</v>
      </c>
      <c r="G87" s="4">
        <f t="shared" si="28"/>
        <v>1.11794825230088</v>
      </c>
      <c r="H87" s="4">
        <f t="shared" si="28"/>
        <v>1.1380713208423</v>
      </c>
      <c r="I87" s="4">
        <f t="shared" si="28"/>
        <v>1.18473224499683</v>
      </c>
      <c r="J87" s="4">
        <f t="shared" si="28"/>
        <v>1.29609707602653</v>
      </c>
      <c r="K87" s="4">
        <f t="shared" si="28"/>
        <v>1.28054391111421</v>
      </c>
      <c r="L87" s="4">
        <f t="shared" si="28"/>
        <v>1.34072947493658</v>
      </c>
      <c r="M87" s="4">
        <f t="shared" si="28"/>
        <v>1.43860272660695</v>
      </c>
      <c r="N87" s="4">
        <f t="shared" si="28"/>
        <v>1.46449757568588</v>
      </c>
      <c r="O87" s="4">
        <f t="shared" si="28"/>
        <v>1.47182006356431</v>
      </c>
      <c r="P87" s="4">
        <f t="shared" si="28"/>
        <v>1.48653826419995</v>
      </c>
      <c r="Q87" s="4">
        <f t="shared" si="28"/>
        <v>1.47761903461475</v>
      </c>
      <c r="R87" s="4">
        <f t="shared" si="28"/>
        <v>1.47909665364936</v>
      </c>
      <c r="S87" s="4">
        <f t="shared" si="28"/>
        <v>1.56636335621468</v>
      </c>
      <c r="T87" s="4">
        <f t="shared" si="28"/>
        <v>1.66974333772485</v>
      </c>
      <c r="U87" s="4">
        <f t="shared" si="7"/>
        <v>1.73653307123384</v>
      </c>
      <c r="V87" s="4">
        <f t="shared" si="23"/>
        <v>1.78341946415715</v>
      </c>
      <c r="W87" s="4">
        <f t="shared" si="24"/>
        <v>1.78876972254962</v>
      </c>
      <c r="X87" s="4">
        <f t="shared" si="9"/>
        <v>1.82633388672317</v>
      </c>
      <c r="Y87" s="4">
        <f t="shared" si="10"/>
        <v>1.82816022060989</v>
      </c>
    </row>
    <row r="88" spans="1:25">
      <c r="A88" s="4" t="s">
        <v>19</v>
      </c>
      <c r="B88" s="4">
        <v>1</v>
      </c>
      <c r="C88" s="4">
        <f t="shared" si="0"/>
        <v>1.013</v>
      </c>
      <c r="D88" s="4">
        <f t="shared" ref="D88:T88" si="29">C88*D54/100</f>
        <v>1.016039</v>
      </c>
      <c r="E88" s="4">
        <f t="shared" si="29"/>
        <v>1.044488092</v>
      </c>
      <c r="F88" s="4">
        <f t="shared" si="29"/>
        <v>1.10193493706</v>
      </c>
      <c r="G88" s="4">
        <f t="shared" si="29"/>
        <v>1.14160459479416</v>
      </c>
      <c r="H88" s="4">
        <f t="shared" si="29"/>
        <v>1.17699433723278</v>
      </c>
      <c r="I88" s="4">
        <f t="shared" si="29"/>
        <v>1.24526000879228</v>
      </c>
      <c r="J88" s="4">
        <f t="shared" si="29"/>
        <v>1.36854074966272</v>
      </c>
      <c r="K88" s="4">
        <f t="shared" si="29"/>
        <v>1.36443512741373</v>
      </c>
      <c r="L88" s="4">
        <f t="shared" si="29"/>
        <v>1.41901253251028</v>
      </c>
      <c r="M88" s="4">
        <f t="shared" si="29"/>
        <v>1.52118143485102</v>
      </c>
      <c r="N88" s="4">
        <f t="shared" si="29"/>
        <v>1.54704151924348</v>
      </c>
      <c r="O88" s="4">
        <f t="shared" si="29"/>
        <v>1.56715305899365</v>
      </c>
      <c r="P88" s="4">
        <f t="shared" si="29"/>
        <v>1.59066035487855</v>
      </c>
      <c r="Q88" s="4">
        <f t="shared" si="29"/>
        <v>1.59702299629807</v>
      </c>
      <c r="R88" s="4">
        <f t="shared" si="29"/>
        <v>1.60341108828326</v>
      </c>
      <c r="S88" s="4">
        <f t="shared" si="29"/>
        <v>1.69480552031541</v>
      </c>
      <c r="T88" s="4">
        <f t="shared" si="29"/>
        <v>1.77615618529055</v>
      </c>
      <c r="U88" s="4">
        <f t="shared" si="7"/>
        <v>1.80635084044049</v>
      </c>
      <c r="V88" s="4">
        <f t="shared" si="23"/>
        <v>1.84789690977062</v>
      </c>
      <c r="W88" s="4">
        <f t="shared" si="24"/>
        <v>1.85713639431947</v>
      </c>
      <c r="X88" s="4">
        <f t="shared" si="9"/>
        <v>1.89056484941722</v>
      </c>
      <c r="Y88" s="4">
        <f t="shared" si="10"/>
        <v>1.89434597911605</v>
      </c>
    </row>
    <row r="89" spans="1:25">
      <c r="A89" s="4" t="s">
        <v>20</v>
      </c>
      <c r="B89" s="4">
        <v>1</v>
      </c>
      <c r="C89" s="4">
        <f t="shared" si="0"/>
        <v>1.002</v>
      </c>
      <c r="D89" s="4">
        <f t="shared" ref="D89:T89" si="30">C89*D55/100</f>
        <v>0.998994</v>
      </c>
      <c r="E89" s="4">
        <f t="shared" si="30"/>
        <v>1.020971868</v>
      </c>
      <c r="F89" s="4">
        <f t="shared" si="30"/>
        <v>1.086314067552</v>
      </c>
      <c r="G89" s="4">
        <f t="shared" si="30"/>
        <v>1.10369509263283</v>
      </c>
      <c r="H89" s="4">
        <f t="shared" si="30"/>
        <v>1.11142095828126</v>
      </c>
      <c r="I89" s="4">
        <f t="shared" si="30"/>
        <v>1.13809506128001</v>
      </c>
      <c r="J89" s="4">
        <f t="shared" si="30"/>
        <v>1.23597123655009</v>
      </c>
      <c r="K89" s="4">
        <f t="shared" si="30"/>
        <v>1.19518418574394</v>
      </c>
      <c r="L89" s="4">
        <f t="shared" si="30"/>
        <v>1.23103971131626</v>
      </c>
      <c r="M89" s="4">
        <f t="shared" si="30"/>
        <v>1.29874689543865</v>
      </c>
      <c r="N89" s="4">
        <f t="shared" si="30"/>
        <v>1.31822809887023</v>
      </c>
      <c r="O89" s="4">
        <f t="shared" si="30"/>
        <v>1.33668329225442</v>
      </c>
      <c r="P89" s="4">
        <f t="shared" si="30"/>
        <v>1.35673354163823</v>
      </c>
      <c r="Q89" s="4">
        <f t="shared" si="30"/>
        <v>1.34316620622185</v>
      </c>
      <c r="R89" s="4">
        <f t="shared" si="30"/>
        <v>1.34719570484051</v>
      </c>
      <c r="S89" s="4">
        <f t="shared" si="30"/>
        <v>1.41859707719706</v>
      </c>
      <c r="T89" s="4">
        <f t="shared" si="30"/>
        <v>1.50655009598328</v>
      </c>
      <c r="U89" s="4">
        <f t="shared" si="7"/>
        <v>1.56982520001458</v>
      </c>
      <c r="V89" s="4">
        <f t="shared" si="23"/>
        <v>1.61064065521496</v>
      </c>
      <c r="W89" s="4">
        <f t="shared" si="24"/>
        <v>1.62352578045668</v>
      </c>
      <c r="X89" s="4">
        <f t="shared" si="9"/>
        <v>1.65924334762672</v>
      </c>
      <c r="Y89" s="4">
        <f t="shared" si="10"/>
        <v>1.66588032101723</v>
      </c>
    </row>
    <row r="90" spans="1:25">
      <c r="A90" s="4" t="s">
        <v>21</v>
      </c>
      <c r="B90" s="4">
        <v>1</v>
      </c>
      <c r="C90" s="4">
        <f t="shared" si="0"/>
        <v>1.02</v>
      </c>
      <c r="D90" s="4">
        <f t="shared" ref="D90:T90" si="31">C90*D56/100</f>
        <v>1.02306</v>
      </c>
      <c r="E90" s="4">
        <f t="shared" si="31"/>
        <v>1.04147508</v>
      </c>
      <c r="F90" s="4">
        <f t="shared" si="31"/>
        <v>1.08938293368</v>
      </c>
      <c r="G90" s="4">
        <f t="shared" si="31"/>
        <v>1.10463429475152</v>
      </c>
      <c r="H90" s="4">
        <f t="shared" si="31"/>
        <v>1.11788990628854</v>
      </c>
      <c r="I90" s="4">
        <f t="shared" si="31"/>
        <v>1.14360137413317</v>
      </c>
      <c r="J90" s="4">
        <f t="shared" si="31"/>
        <v>1.2339458826897</v>
      </c>
      <c r="K90" s="4">
        <f t="shared" si="31"/>
        <v>1.20803301915321</v>
      </c>
      <c r="L90" s="4">
        <f t="shared" si="31"/>
        <v>1.24427400972781</v>
      </c>
      <c r="M90" s="4">
        <f t="shared" si="31"/>
        <v>1.32141899833093</v>
      </c>
      <c r="N90" s="4">
        <f t="shared" si="31"/>
        <v>1.32934751232092</v>
      </c>
      <c r="O90" s="4">
        <f t="shared" si="31"/>
        <v>1.33067685983324</v>
      </c>
      <c r="P90" s="4">
        <f t="shared" si="31"/>
        <v>1.35196768959057</v>
      </c>
      <c r="Q90" s="4">
        <f t="shared" si="31"/>
        <v>1.33574407731548</v>
      </c>
      <c r="R90" s="4">
        <f t="shared" si="31"/>
        <v>1.32906535692891</v>
      </c>
      <c r="S90" s="4">
        <f t="shared" si="31"/>
        <v>1.38754423263378</v>
      </c>
      <c r="T90" s="4">
        <f t="shared" si="31"/>
        <v>1.4499837231023</v>
      </c>
      <c r="U90" s="4">
        <f t="shared" si="7"/>
        <v>1.48478333245675</v>
      </c>
      <c r="V90" s="4">
        <f t="shared" si="23"/>
        <v>1.52635726576554</v>
      </c>
      <c r="W90" s="4">
        <f t="shared" si="24"/>
        <v>1.54009448115743</v>
      </c>
      <c r="X90" s="4">
        <f t="shared" si="9"/>
        <v>1.56935627629942</v>
      </c>
      <c r="Y90" s="4">
        <f t="shared" si="10"/>
        <v>1.56621756374682</v>
      </c>
    </row>
    <row r="91" spans="1:25">
      <c r="A91" s="4" t="s">
        <v>22</v>
      </c>
      <c r="B91" s="4">
        <v>1</v>
      </c>
      <c r="C91" s="4">
        <f t="shared" si="0"/>
        <v>1.003</v>
      </c>
      <c r="D91" s="4">
        <f t="shared" ref="D91:T91" si="32">C91*D57/100</f>
        <v>0.984946</v>
      </c>
      <c r="E91" s="4">
        <f t="shared" si="32"/>
        <v>1.016464272</v>
      </c>
      <c r="F91" s="4">
        <f t="shared" si="32"/>
        <v>1.073386271232</v>
      </c>
      <c r="G91" s="4">
        <f t="shared" si="32"/>
        <v>1.08626690648678</v>
      </c>
      <c r="H91" s="4">
        <f t="shared" si="32"/>
        <v>1.09712957555165</v>
      </c>
      <c r="I91" s="4">
        <f t="shared" si="32"/>
        <v>1.1640544796603</v>
      </c>
      <c r="J91" s="4">
        <f t="shared" si="32"/>
        <v>1.31887372545512</v>
      </c>
      <c r="K91" s="4">
        <f t="shared" si="32"/>
        <v>1.28853962976965</v>
      </c>
      <c r="L91" s="4">
        <f t="shared" si="32"/>
        <v>1.35554369051768</v>
      </c>
      <c r="M91" s="4">
        <f t="shared" si="32"/>
        <v>1.44229848671081</v>
      </c>
      <c r="N91" s="4">
        <f t="shared" si="32"/>
        <v>1.47114445644502</v>
      </c>
      <c r="O91" s="4">
        <f t="shared" si="32"/>
        <v>1.46084644524991</v>
      </c>
      <c r="P91" s="4">
        <f t="shared" si="32"/>
        <v>1.46961152392141</v>
      </c>
      <c r="Q91" s="4">
        <f t="shared" si="32"/>
        <v>1.46079385477788</v>
      </c>
      <c r="R91" s="4">
        <f t="shared" si="32"/>
        <v>1.46225464863266</v>
      </c>
      <c r="S91" s="4">
        <f t="shared" si="32"/>
        <v>1.5222070892266</v>
      </c>
      <c r="T91" s="4">
        <f t="shared" si="32"/>
        <v>1.61658392875865</v>
      </c>
      <c r="U91" s="4">
        <f t="shared" si="7"/>
        <v>1.66993119840768</v>
      </c>
      <c r="V91" s="4">
        <f t="shared" si="23"/>
        <v>1.70833961597106</v>
      </c>
      <c r="W91" s="4">
        <f t="shared" si="24"/>
        <v>1.71346463481897</v>
      </c>
      <c r="X91" s="4">
        <f t="shared" si="9"/>
        <v>1.74088006897607</v>
      </c>
      <c r="Y91" s="4">
        <f t="shared" si="10"/>
        <v>1.746102709183</v>
      </c>
    </row>
    <row r="92" spans="1:25">
      <c r="A92" s="4" t="s">
        <v>23</v>
      </c>
      <c r="B92" s="4">
        <v>1</v>
      </c>
      <c r="C92" s="4">
        <f t="shared" si="0"/>
        <v>1.008</v>
      </c>
      <c r="D92" s="4">
        <f t="shared" ref="D92:T92" si="33">C92*D58/100</f>
        <v>1.015056</v>
      </c>
      <c r="E92" s="4">
        <f t="shared" si="33"/>
        <v>1.044492624</v>
      </c>
      <c r="F92" s="4">
        <f t="shared" si="33"/>
        <v>1.097761747824</v>
      </c>
      <c r="G92" s="4">
        <f t="shared" si="33"/>
        <v>1.12301026802395</v>
      </c>
      <c r="H92" s="4">
        <f t="shared" si="33"/>
        <v>1.14210144258036</v>
      </c>
      <c r="I92" s="4">
        <f t="shared" si="33"/>
        <v>1.20491702192228</v>
      </c>
      <c r="J92" s="4">
        <f t="shared" si="33"/>
        <v>1.32781855815835</v>
      </c>
      <c r="K92" s="4">
        <f t="shared" si="33"/>
        <v>1.29860654987887</v>
      </c>
      <c r="L92" s="4">
        <f t="shared" si="33"/>
        <v>1.32587728742632</v>
      </c>
      <c r="M92" s="4">
        <f t="shared" si="33"/>
        <v>1.40410404738448</v>
      </c>
      <c r="N92" s="4">
        <f t="shared" si="33"/>
        <v>1.4293779202374</v>
      </c>
      <c r="O92" s="4">
        <f t="shared" si="33"/>
        <v>1.43652480983858</v>
      </c>
      <c r="P92" s="4">
        <f t="shared" si="33"/>
        <v>1.4408343842681</v>
      </c>
      <c r="Q92" s="4">
        <f t="shared" si="33"/>
        <v>1.41489936535127</v>
      </c>
      <c r="R92" s="4">
        <f t="shared" si="33"/>
        <v>1.39933547233241</v>
      </c>
      <c r="S92" s="4">
        <f t="shared" si="33"/>
        <v>1.47350025236603</v>
      </c>
      <c r="T92" s="4">
        <f t="shared" si="33"/>
        <v>1.54717526498433</v>
      </c>
      <c r="U92" s="4">
        <f t="shared" si="7"/>
        <v>1.62453402823355</v>
      </c>
      <c r="V92" s="4">
        <f t="shared" si="23"/>
        <v>1.66189831088292</v>
      </c>
      <c r="W92" s="4">
        <f t="shared" si="24"/>
        <v>1.66688400581557</v>
      </c>
      <c r="X92" s="4">
        <f t="shared" si="9"/>
        <v>1.70188856993769</v>
      </c>
      <c r="Y92" s="4">
        <f t="shared" si="10"/>
        <v>1.69678290422788</v>
      </c>
    </row>
    <row r="93" spans="1:25">
      <c r="A93" s="4" t="s">
        <v>24</v>
      </c>
      <c r="B93" s="4">
        <v>1</v>
      </c>
      <c r="C93" s="4">
        <f t="shared" si="0"/>
        <v>1.015</v>
      </c>
      <c r="D93" s="4">
        <f t="shared" ref="D93:T93" si="34">C93*D59/100</f>
        <v>1.020075</v>
      </c>
      <c r="E93" s="4">
        <f t="shared" si="34"/>
        <v>1.04251665</v>
      </c>
      <c r="F93" s="4">
        <f t="shared" si="34"/>
        <v>1.1134077822</v>
      </c>
      <c r="G93" s="4">
        <f t="shared" si="34"/>
        <v>1.1568306857058</v>
      </c>
      <c r="H93" s="4">
        <f t="shared" si="34"/>
        <v>1.19037877559127</v>
      </c>
      <c r="I93" s="4">
        <f t="shared" si="34"/>
        <v>1.24632657804406</v>
      </c>
      <c r="J93" s="4">
        <f t="shared" si="34"/>
        <v>1.40211740029957</v>
      </c>
      <c r="K93" s="4">
        <f t="shared" si="34"/>
        <v>1.37828140449447</v>
      </c>
      <c r="L93" s="4">
        <f t="shared" si="34"/>
        <v>1.41273843960683</v>
      </c>
      <c r="M93" s="4">
        <f t="shared" si="34"/>
        <v>1.48620083846639</v>
      </c>
      <c r="N93" s="4">
        <f t="shared" si="34"/>
        <v>1.50106284685105</v>
      </c>
      <c r="O93" s="4">
        <f t="shared" si="34"/>
        <v>1.50706709823846</v>
      </c>
      <c r="P93" s="4">
        <f t="shared" si="34"/>
        <v>1.51460243372965</v>
      </c>
      <c r="Q93" s="4">
        <f t="shared" si="34"/>
        <v>1.48279578262133</v>
      </c>
      <c r="R93" s="4">
        <f t="shared" si="34"/>
        <v>1.47983019105608</v>
      </c>
      <c r="S93" s="4">
        <f t="shared" si="34"/>
        <v>1.5937771157674</v>
      </c>
      <c r="T93" s="4">
        <f t="shared" si="34"/>
        <v>1.69577885117652</v>
      </c>
      <c r="U93" s="4">
        <f t="shared" si="7"/>
        <v>1.72291131279534</v>
      </c>
      <c r="V93" s="4">
        <f t="shared" si="23"/>
        <v>1.77804447480479</v>
      </c>
      <c r="W93" s="4">
        <f t="shared" si="24"/>
        <v>1.78337860822921</v>
      </c>
      <c r="X93" s="4">
        <f t="shared" si="9"/>
        <v>1.81904618039379</v>
      </c>
      <c r="Y93" s="4">
        <f t="shared" si="10"/>
        <v>1.81904618039379</v>
      </c>
    </row>
    <row r="94" spans="1:25">
      <c r="A94" s="4" t="s">
        <v>25</v>
      </c>
      <c r="B94" s="4">
        <v>1</v>
      </c>
      <c r="C94" s="4">
        <f t="shared" si="0"/>
        <v>1.004</v>
      </c>
      <c r="D94" s="4">
        <f t="shared" ref="D94:T94" si="35">C94*D60/100</f>
        <v>1.006008</v>
      </c>
      <c r="E94" s="4">
        <f t="shared" si="35"/>
        <v>1.029146184</v>
      </c>
      <c r="F94" s="4">
        <f t="shared" si="35"/>
        <v>1.079574347016</v>
      </c>
      <c r="G94" s="4">
        <f t="shared" si="35"/>
        <v>1.09468838787422</v>
      </c>
      <c r="H94" s="4">
        <f t="shared" si="35"/>
        <v>1.10672996014084</v>
      </c>
      <c r="I94" s="4">
        <f t="shared" si="35"/>
        <v>1.14546550874577</v>
      </c>
      <c r="J94" s="4">
        <f t="shared" si="35"/>
        <v>1.24741193902414</v>
      </c>
      <c r="K94" s="4">
        <f t="shared" si="35"/>
        <v>1.25364899871926</v>
      </c>
      <c r="L94" s="4">
        <f t="shared" si="35"/>
        <v>1.28749752168468</v>
      </c>
      <c r="M94" s="4">
        <f t="shared" si="35"/>
        <v>1.35702238785566</v>
      </c>
      <c r="N94" s="4">
        <f t="shared" si="35"/>
        <v>1.37737772367349</v>
      </c>
      <c r="O94" s="4">
        <f t="shared" si="35"/>
        <v>1.38977412318655</v>
      </c>
      <c r="P94" s="4">
        <f t="shared" si="35"/>
        <v>1.40506163854161</v>
      </c>
      <c r="Q94" s="4">
        <f t="shared" si="35"/>
        <v>1.38258065232494</v>
      </c>
      <c r="R94" s="4">
        <f t="shared" si="35"/>
        <v>1.36322452319239</v>
      </c>
      <c r="S94" s="4">
        <f t="shared" si="35"/>
        <v>1.44638121910713</v>
      </c>
      <c r="T94" s="4">
        <f t="shared" si="35"/>
        <v>1.5215930425007</v>
      </c>
      <c r="U94" s="4">
        <f t="shared" si="7"/>
        <v>1.55658968247821</v>
      </c>
      <c r="V94" s="4">
        <f t="shared" si="23"/>
        <v>1.59706101422265</v>
      </c>
      <c r="W94" s="4">
        <f t="shared" si="24"/>
        <v>1.59865807523687</v>
      </c>
      <c r="X94" s="4">
        <f t="shared" si="9"/>
        <v>1.62423660444066</v>
      </c>
      <c r="Y94" s="4">
        <f t="shared" si="10"/>
        <v>1.61936389462734</v>
      </c>
    </row>
    <row r="95" spans="1:25">
      <c r="A95" s="4" t="s">
        <v>26</v>
      </c>
      <c r="B95" s="4">
        <v>1</v>
      </c>
      <c r="C95" s="4">
        <f t="shared" si="0"/>
        <v>1.01</v>
      </c>
      <c r="D95" s="4">
        <f t="shared" ref="D95:T95" si="36">C95*D61/100</f>
        <v>1.01</v>
      </c>
      <c r="E95" s="4">
        <f t="shared" si="36"/>
        <v>1.03222</v>
      </c>
      <c r="F95" s="4">
        <f t="shared" si="36"/>
        <v>1.1147976</v>
      </c>
      <c r="G95" s="4">
        <f t="shared" si="36"/>
        <v>1.1660782896</v>
      </c>
      <c r="H95" s="4">
        <f t="shared" si="36"/>
        <v>1.1870676988128</v>
      </c>
      <c r="I95" s="4">
        <f t="shared" si="36"/>
        <v>1.23692454216294</v>
      </c>
      <c r="J95" s="4">
        <f t="shared" si="36"/>
        <v>1.328456958283</v>
      </c>
      <c r="K95" s="4">
        <f t="shared" si="36"/>
        <v>1.30321627607562</v>
      </c>
      <c r="L95" s="4">
        <f t="shared" si="36"/>
        <v>1.33840311552966</v>
      </c>
      <c r="M95" s="4">
        <f t="shared" si="36"/>
        <v>1.39996965884402</v>
      </c>
      <c r="N95" s="4">
        <f t="shared" si="36"/>
        <v>1.41956923406784</v>
      </c>
      <c r="O95" s="4">
        <f t="shared" si="36"/>
        <v>1.43518449564259</v>
      </c>
      <c r="P95" s="4">
        <f t="shared" si="36"/>
        <v>1.44953634059901</v>
      </c>
      <c r="Q95" s="4">
        <f t="shared" si="36"/>
        <v>1.43649051353362</v>
      </c>
      <c r="R95" s="4">
        <f t="shared" si="36"/>
        <v>1.43792700404715</v>
      </c>
      <c r="S95" s="4">
        <f t="shared" si="36"/>
        <v>1.50838542724546</v>
      </c>
      <c r="T95" s="4">
        <f t="shared" si="36"/>
        <v>1.58229631318049</v>
      </c>
      <c r="U95" s="4">
        <f t="shared" si="7"/>
        <v>1.61868912838364</v>
      </c>
      <c r="V95" s="4">
        <f t="shared" si="23"/>
        <v>1.67696193700546</v>
      </c>
      <c r="W95" s="4">
        <f t="shared" si="24"/>
        <v>1.68031586087947</v>
      </c>
      <c r="X95" s="4">
        <f t="shared" si="9"/>
        <v>1.70720091465354</v>
      </c>
      <c r="Y95" s="4">
        <f t="shared" si="10"/>
        <v>1.7123225173975</v>
      </c>
    </row>
    <row r="96" spans="1:25">
      <c r="A96" s="4" t="s">
        <v>27</v>
      </c>
      <c r="B96" s="4">
        <v>1</v>
      </c>
      <c r="C96" s="4">
        <f t="shared" si="0"/>
        <v>1.036</v>
      </c>
      <c r="D96" s="4">
        <f t="shared" ref="D96:T96" si="37">C96*D62/100</f>
        <v>1.05672</v>
      </c>
      <c r="E96" s="4">
        <f t="shared" si="37"/>
        <v>1.07468424</v>
      </c>
      <c r="F96" s="4">
        <f t="shared" si="37"/>
        <v>1.1230450308</v>
      </c>
      <c r="G96" s="4">
        <f t="shared" si="37"/>
        <v>1.1645976969396</v>
      </c>
      <c r="H96" s="4">
        <f t="shared" si="37"/>
        <v>1.19487723706003</v>
      </c>
      <c r="I96" s="4">
        <f t="shared" si="37"/>
        <v>1.24267232654243</v>
      </c>
      <c r="J96" s="4">
        <f t="shared" si="37"/>
        <v>1.36072619756396</v>
      </c>
      <c r="K96" s="4">
        <f t="shared" si="37"/>
        <v>1.35120111418101</v>
      </c>
      <c r="L96" s="4">
        <f t="shared" si="37"/>
        <v>1.39984435429153</v>
      </c>
      <c r="M96" s="4">
        <f t="shared" si="37"/>
        <v>1.48243517119473</v>
      </c>
      <c r="N96" s="4">
        <f t="shared" si="37"/>
        <v>1.52097848564579</v>
      </c>
      <c r="O96" s="4">
        <f t="shared" si="37"/>
        <v>1.55139805535871</v>
      </c>
      <c r="P96" s="4">
        <f t="shared" si="37"/>
        <v>1.56846343396766</v>
      </c>
      <c r="Q96" s="4">
        <f t="shared" si="37"/>
        <v>1.54964187276004</v>
      </c>
      <c r="R96" s="4">
        <f t="shared" si="37"/>
        <v>1.54809223088728</v>
      </c>
      <c r="S96" s="4">
        <f t="shared" si="37"/>
        <v>1.63014111912431</v>
      </c>
      <c r="T96" s="4">
        <f t="shared" si="37"/>
        <v>1.71816873955702</v>
      </c>
      <c r="U96" s="4">
        <f t="shared" si="7"/>
        <v>1.7628411267855</v>
      </c>
      <c r="V96" s="4">
        <f t="shared" si="23"/>
        <v>1.80691215495514</v>
      </c>
      <c r="W96" s="4">
        <f t="shared" si="24"/>
        <v>1.83401583727947</v>
      </c>
      <c r="X96" s="4">
        <f t="shared" si="9"/>
        <v>1.87253016986234</v>
      </c>
      <c r="Y96" s="4">
        <f t="shared" si="10"/>
        <v>1.8744027000322</v>
      </c>
    </row>
    <row r="97" spans="1:25">
      <c r="A97" s="4" t="s">
        <v>28</v>
      </c>
      <c r="B97" s="4">
        <v>1</v>
      </c>
      <c r="C97" s="4">
        <f t="shared" si="0"/>
        <v>1.02</v>
      </c>
      <c r="D97" s="4">
        <f t="shared" ref="D97:T97" si="38">C97*D63/100</f>
        <v>1.02204</v>
      </c>
      <c r="E97" s="4">
        <f t="shared" si="38"/>
        <v>1.03941468</v>
      </c>
      <c r="F97" s="4">
        <f t="shared" si="38"/>
        <v>1.0965824874</v>
      </c>
      <c r="G97" s="4">
        <f t="shared" si="38"/>
        <v>1.1207073021228</v>
      </c>
      <c r="H97" s="4">
        <f t="shared" si="38"/>
        <v>1.16665630150983</v>
      </c>
      <c r="I97" s="4">
        <f t="shared" si="38"/>
        <v>1.19932267795211</v>
      </c>
      <c r="J97" s="4">
        <f t="shared" si="38"/>
        <v>1.2796772973749</v>
      </c>
      <c r="K97" s="4">
        <f t="shared" si="38"/>
        <v>1.29887245683552</v>
      </c>
      <c r="L97" s="4">
        <f t="shared" si="38"/>
        <v>1.34433299282477</v>
      </c>
      <c r="M97" s="4">
        <f t="shared" si="38"/>
        <v>1.40751664348753</v>
      </c>
      <c r="N97" s="4">
        <f t="shared" si="38"/>
        <v>1.43707449300077</v>
      </c>
      <c r="O97" s="4">
        <f t="shared" si="38"/>
        <v>1.44282279097277</v>
      </c>
      <c r="P97" s="4">
        <f t="shared" si="38"/>
        <v>1.44426561376375</v>
      </c>
      <c r="Q97" s="4">
        <f t="shared" si="38"/>
        <v>1.41104750464718</v>
      </c>
      <c r="R97" s="4">
        <f t="shared" si="38"/>
        <v>1.39270388708677</v>
      </c>
      <c r="S97" s="4">
        <f t="shared" si="38"/>
        <v>1.47487341642489</v>
      </c>
      <c r="T97" s="4">
        <f t="shared" si="38"/>
        <v>1.54271759358043</v>
      </c>
      <c r="U97" s="4">
        <f t="shared" si="7"/>
        <v>1.58282825101352</v>
      </c>
      <c r="V97" s="4">
        <f t="shared" si="23"/>
        <v>1.61448481603379</v>
      </c>
      <c r="W97" s="4">
        <f t="shared" si="24"/>
        <v>1.6290151793781</v>
      </c>
      <c r="X97" s="4">
        <f t="shared" si="9"/>
        <v>1.65996646778628</v>
      </c>
      <c r="Y97" s="4">
        <f t="shared" si="10"/>
        <v>1.66826630012521</v>
      </c>
    </row>
    <row r="98" spans="1:25">
      <c r="A98" s="4" t="s">
        <v>29</v>
      </c>
      <c r="B98" s="4">
        <v>1</v>
      </c>
      <c r="C98" s="4">
        <f t="shared" si="0"/>
        <v>1.003</v>
      </c>
      <c r="D98" s="4">
        <f t="shared" ref="D98:T98" si="39">C98*D64/100</f>
        <v>1.035096</v>
      </c>
      <c r="E98" s="4">
        <f t="shared" si="39"/>
        <v>1.05579792</v>
      </c>
      <c r="F98" s="4">
        <f t="shared" si="39"/>
        <v>1.08536026176</v>
      </c>
      <c r="G98" s="4">
        <f t="shared" si="39"/>
        <v>1.10815282725696</v>
      </c>
      <c r="H98" s="4">
        <f t="shared" si="39"/>
        <v>1.13474849511113</v>
      </c>
      <c r="I98" s="4">
        <f t="shared" si="39"/>
        <v>1.18240793190579</v>
      </c>
      <c r="J98" s="4">
        <f t="shared" si="39"/>
        <v>1.3065607647559</v>
      </c>
      <c r="K98" s="4">
        <f t="shared" si="39"/>
        <v>1.31831981163871</v>
      </c>
      <c r="L98" s="4">
        <f t="shared" si="39"/>
        <v>1.36841596448098</v>
      </c>
      <c r="M98" s="4">
        <f t="shared" si="39"/>
        <v>1.45736300217224</v>
      </c>
      <c r="N98" s="4">
        <f t="shared" si="39"/>
        <v>1.48942498822003</v>
      </c>
      <c r="O98" s="4">
        <f t="shared" si="39"/>
        <v>1.51176636304333</v>
      </c>
      <c r="P98" s="4">
        <f t="shared" si="39"/>
        <v>1.52537226031072</v>
      </c>
      <c r="Q98" s="4">
        <f t="shared" si="39"/>
        <v>1.49791555962513</v>
      </c>
      <c r="R98" s="4">
        <f t="shared" si="39"/>
        <v>1.49192389738663</v>
      </c>
      <c r="S98" s="4">
        <f t="shared" si="39"/>
        <v>1.58293125512721</v>
      </c>
      <c r="T98" s="4">
        <f t="shared" si="39"/>
        <v>1.65099729909768</v>
      </c>
      <c r="U98" s="4">
        <f t="shared" si="7"/>
        <v>1.69227223157512</v>
      </c>
      <c r="V98" s="4">
        <f t="shared" si="23"/>
        <v>1.73627130959608</v>
      </c>
      <c r="W98" s="4">
        <f t="shared" si="24"/>
        <v>1.75884283662083</v>
      </c>
      <c r="X98" s="4">
        <f t="shared" si="9"/>
        <v>1.80105506469973</v>
      </c>
      <c r="Y98" s="4">
        <f t="shared" si="10"/>
        <v>1.81006034002322</v>
      </c>
    </row>
    <row r="99" spans="1:25">
      <c r="A99" s="4" t="s">
        <v>30</v>
      </c>
      <c r="B99" s="4">
        <v>1</v>
      </c>
      <c r="C99" s="4">
        <f t="shared" si="0"/>
        <v>1.015</v>
      </c>
      <c r="D99" s="4">
        <f t="shared" ref="D99:T99" si="40">C99*D65/100</f>
        <v>1.022105</v>
      </c>
      <c r="E99" s="4">
        <f t="shared" si="40"/>
        <v>1.045613415</v>
      </c>
      <c r="F99" s="4">
        <f t="shared" si="40"/>
        <v>1.096848472335</v>
      </c>
      <c r="G99" s="4">
        <f t="shared" si="40"/>
        <v>1.11988229025404</v>
      </c>
      <c r="H99" s="4">
        <f t="shared" si="40"/>
        <v>1.13444076002734</v>
      </c>
      <c r="I99" s="4">
        <f t="shared" si="40"/>
        <v>1.17074286434821</v>
      </c>
      <c r="J99" s="4">
        <f t="shared" si="40"/>
        <v>1.27610972213955</v>
      </c>
      <c r="K99" s="4">
        <f t="shared" si="40"/>
        <v>1.27866194158383</v>
      </c>
      <c r="L99" s="4">
        <f t="shared" si="40"/>
        <v>1.33236574313035</v>
      </c>
      <c r="M99" s="4">
        <f t="shared" si="40"/>
        <v>1.43229317386513</v>
      </c>
      <c r="N99" s="4">
        <f t="shared" si="40"/>
        <v>1.4537775714731</v>
      </c>
      <c r="O99" s="4">
        <f t="shared" si="40"/>
        <v>1.45087001633016</v>
      </c>
      <c r="P99" s="4">
        <f t="shared" si="40"/>
        <v>1.4624769764608</v>
      </c>
      <c r="Q99" s="4">
        <f t="shared" si="40"/>
        <v>1.42591505204928</v>
      </c>
      <c r="R99" s="4">
        <f t="shared" si="40"/>
        <v>1.42021139184108</v>
      </c>
      <c r="S99" s="4">
        <f t="shared" si="40"/>
        <v>1.50400386395971</v>
      </c>
      <c r="T99" s="4">
        <f t="shared" si="40"/>
        <v>1.5566439991983</v>
      </c>
      <c r="U99" s="4">
        <f t="shared" si="7"/>
        <v>1.58777687918226</v>
      </c>
      <c r="V99" s="4">
        <f t="shared" si="23"/>
        <v>1.61159353237</v>
      </c>
      <c r="W99" s="4">
        <f t="shared" si="24"/>
        <v>1.63415584182318</v>
      </c>
      <c r="X99" s="4">
        <f t="shared" si="9"/>
        <v>1.67174142618511</v>
      </c>
      <c r="Y99" s="4">
        <f t="shared" si="10"/>
        <v>1.67842839188985</v>
      </c>
    </row>
    <row r="100" spans="1:25">
      <c r="A100" s="4" t="s">
        <v>31</v>
      </c>
      <c r="B100" s="4">
        <v>1</v>
      </c>
      <c r="C100" s="4">
        <f t="shared" si="0"/>
        <v>1.025</v>
      </c>
      <c r="D100" s="4">
        <f t="shared" ref="D100:T100" si="41">C100*D66/100</f>
        <v>1.02705</v>
      </c>
      <c r="E100" s="4">
        <f t="shared" si="41"/>
        <v>1.0619697</v>
      </c>
      <c r="F100" s="4">
        <f t="shared" si="41"/>
        <v>1.1097583365</v>
      </c>
      <c r="G100" s="4">
        <f t="shared" si="41"/>
        <v>1.140831569922</v>
      </c>
      <c r="H100" s="4">
        <f t="shared" si="41"/>
        <v>1.16592986446028</v>
      </c>
      <c r="I100" s="4">
        <f t="shared" si="41"/>
        <v>1.21723077849654</v>
      </c>
      <c r="J100" s="4">
        <f t="shared" si="41"/>
        <v>1.35356062568815</v>
      </c>
      <c r="K100" s="4">
        <f t="shared" si="41"/>
        <v>1.32648941317439</v>
      </c>
      <c r="L100" s="4">
        <f t="shared" si="41"/>
        <v>1.38750792618041</v>
      </c>
      <c r="M100" s="4">
        <f t="shared" si="41"/>
        <v>1.48602098893922</v>
      </c>
      <c r="N100" s="4">
        <f t="shared" si="41"/>
        <v>1.49493711487285</v>
      </c>
      <c r="O100" s="4">
        <f t="shared" si="41"/>
        <v>1.50241180044722</v>
      </c>
      <c r="P100" s="4">
        <f t="shared" si="41"/>
        <v>1.50691903584856</v>
      </c>
      <c r="Q100" s="4">
        <f t="shared" si="41"/>
        <v>1.48130141223913</v>
      </c>
      <c r="R100" s="4">
        <f t="shared" si="41"/>
        <v>1.47982011082689</v>
      </c>
      <c r="S100" s="4">
        <f t="shared" si="41"/>
        <v>1.53161381470583</v>
      </c>
      <c r="T100" s="4">
        <f t="shared" si="41"/>
        <v>1.58828352584995</v>
      </c>
      <c r="U100" s="4">
        <f t="shared" si="7"/>
        <v>1.63275546457375</v>
      </c>
      <c r="V100" s="4">
        <f t="shared" si="23"/>
        <v>1.65724679654235</v>
      </c>
      <c r="W100" s="4">
        <f t="shared" si="24"/>
        <v>1.67713375810086</v>
      </c>
      <c r="X100" s="4">
        <f t="shared" si="9"/>
        <v>1.70732216574668</v>
      </c>
      <c r="Y100" s="4">
        <f t="shared" si="10"/>
        <v>1.70732216574668</v>
      </c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6" t="s">
        <v>36</v>
      </c>
      <c r="B102" s="6"/>
      <c r="C102" s="6"/>
      <c r="D102" s="6"/>
      <c r="E102" s="6"/>
      <c r="F102" s="6"/>
      <c r="G102" s="4" t="s">
        <v>37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5">
      <c r="A103" s="6" t="s">
        <v>1</v>
      </c>
      <c r="B103" s="6">
        <v>2000</v>
      </c>
      <c r="C103" s="6">
        <v>2001</v>
      </c>
      <c r="D103" s="6">
        <v>2002</v>
      </c>
      <c r="E103" s="6">
        <v>2003</v>
      </c>
      <c r="F103" s="6">
        <v>2004</v>
      </c>
      <c r="G103" s="6">
        <v>2005</v>
      </c>
      <c r="H103" s="6">
        <v>2006</v>
      </c>
      <c r="I103" s="6">
        <v>2007</v>
      </c>
      <c r="J103" s="6">
        <v>2008</v>
      </c>
      <c r="K103" s="6">
        <v>2009</v>
      </c>
      <c r="L103" s="6">
        <v>2010</v>
      </c>
      <c r="M103" s="6">
        <v>2011</v>
      </c>
      <c r="N103" s="6">
        <v>2012</v>
      </c>
      <c r="O103" s="6">
        <v>2013</v>
      </c>
      <c r="P103" s="6">
        <v>2014</v>
      </c>
      <c r="Q103" s="6">
        <v>2015</v>
      </c>
      <c r="R103" s="6">
        <v>2016</v>
      </c>
      <c r="S103" s="6">
        <v>2017</v>
      </c>
      <c r="T103" s="6">
        <v>2018</v>
      </c>
      <c r="U103" s="6">
        <v>2019</v>
      </c>
      <c r="V103" s="6">
        <v>2020</v>
      </c>
      <c r="W103" s="6">
        <v>2021</v>
      </c>
      <c r="X103">
        <v>2022</v>
      </c>
      <c r="Y103">
        <v>2023</v>
      </c>
    </row>
    <row r="104" spans="1:25">
      <c r="A104" s="4" t="s">
        <v>2</v>
      </c>
      <c r="B104" s="4">
        <f>B3/B71</f>
        <v>1400.36</v>
      </c>
      <c r="C104" s="4">
        <f t="shared" ref="C104:Y104" si="42">C3/C71</f>
        <v>1592.50497017893</v>
      </c>
      <c r="D104" s="4">
        <f t="shared" si="42"/>
        <v>1932.50853445067</v>
      </c>
      <c r="E104" s="4">
        <f t="shared" si="42"/>
        <v>2361.72722050991</v>
      </c>
      <c r="F104" s="4">
        <f t="shared" si="42"/>
        <v>2641.84282932847</v>
      </c>
      <c r="G104" s="4">
        <f t="shared" si="42"/>
        <v>2955.86255650151</v>
      </c>
      <c r="H104" s="4">
        <f t="shared" si="42"/>
        <v>3262.43135201738</v>
      </c>
      <c r="I104" s="4">
        <f t="shared" si="42"/>
        <v>3594.90064856184</v>
      </c>
      <c r="J104" s="4">
        <f t="shared" si="42"/>
        <v>3307.30567127803</v>
      </c>
      <c r="K104" s="4">
        <f t="shared" si="42"/>
        <v>3786.46037977275</v>
      </c>
      <c r="L104" s="4">
        <f t="shared" si="42"/>
        <v>4449.91125389668</v>
      </c>
      <c r="M104" s="4">
        <f t="shared" si="42"/>
        <v>4691.79014964861</v>
      </c>
      <c r="N104" s="4">
        <f t="shared" si="42"/>
        <v>5470.90007389613</v>
      </c>
      <c r="O104" s="4">
        <f t="shared" si="42"/>
        <v>5914.45230398029</v>
      </c>
      <c r="P104" s="4">
        <f t="shared" si="42"/>
        <v>6196.19819854069</v>
      </c>
      <c r="Q104" s="4">
        <f t="shared" si="42"/>
        <v>6506.66348525714</v>
      </c>
      <c r="R104" s="4">
        <f t="shared" si="42"/>
        <v>7775.16818912485</v>
      </c>
      <c r="S104" s="4">
        <f t="shared" si="42"/>
        <v>7929.99250563901</v>
      </c>
      <c r="T104" s="4">
        <f t="shared" si="42"/>
        <v>7219.50184761933</v>
      </c>
      <c r="U104" s="4">
        <f t="shared" si="42"/>
        <v>6894.23535889212</v>
      </c>
      <c r="V104" s="4">
        <f t="shared" si="42"/>
        <v>6928.13032132521</v>
      </c>
      <c r="W104" s="4">
        <f t="shared" si="42"/>
        <v>7188.53482400608</v>
      </c>
      <c r="X104" s="4">
        <f t="shared" si="42"/>
        <v>7315.64054780972</v>
      </c>
      <c r="Y104" s="4">
        <f t="shared" si="42"/>
        <v>7643.53280343866</v>
      </c>
    </row>
    <row r="105" spans="1:25">
      <c r="A105" s="4" t="s">
        <v>3</v>
      </c>
      <c r="B105" s="4">
        <f t="shared" ref="B105:T105" si="43">B4/B72</f>
        <v>695.1</v>
      </c>
      <c r="C105" s="4">
        <f t="shared" si="43"/>
        <v>807.763289869609</v>
      </c>
      <c r="D105" s="4">
        <f t="shared" si="43"/>
        <v>934.10885924104</v>
      </c>
      <c r="E105" s="4">
        <f t="shared" si="43"/>
        <v>1159.88546713146</v>
      </c>
      <c r="F105" s="4">
        <f t="shared" si="43"/>
        <v>1324.49436146718</v>
      </c>
      <c r="G105" s="4">
        <f t="shared" si="43"/>
        <v>1573.81482311948</v>
      </c>
      <c r="H105" s="4">
        <f t="shared" si="43"/>
        <v>1875.41369971422</v>
      </c>
      <c r="I105" s="4">
        <f t="shared" si="43"/>
        <v>2290.15024102156</v>
      </c>
      <c r="J105" s="4">
        <f t="shared" si="43"/>
        <v>2882.25743910883</v>
      </c>
      <c r="K105" s="4">
        <f t="shared" si="43"/>
        <v>4172.42142741213</v>
      </c>
      <c r="L105" s="4">
        <f t="shared" si="43"/>
        <v>5180.40585591427</v>
      </c>
      <c r="M105" s="4">
        <f t="shared" si="43"/>
        <v>6114.38577223284</v>
      </c>
      <c r="N105" s="4">
        <f t="shared" si="43"/>
        <v>7057.55383754571</v>
      </c>
      <c r="O105" s="4">
        <f t="shared" si="43"/>
        <v>7948.9776247684</v>
      </c>
      <c r="P105" s="4">
        <f t="shared" si="43"/>
        <v>8590.68757941453</v>
      </c>
      <c r="Q105" s="4">
        <f t="shared" si="43"/>
        <v>7960.56439514893</v>
      </c>
      <c r="R105" s="4">
        <f t="shared" si="43"/>
        <v>7717.19974005578</v>
      </c>
      <c r="S105" s="4">
        <f t="shared" si="43"/>
        <v>7416.28413526874</v>
      </c>
      <c r="T105" s="4">
        <f t="shared" si="43"/>
        <v>6699.49495090305</v>
      </c>
      <c r="U105" s="4">
        <f t="shared" ref="U105:U133" si="44">U4/U72</f>
        <v>7450.47078610752</v>
      </c>
      <c r="V105" s="4">
        <f t="shared" ref="V105:W133" si="45">V4/V72</f>
        <v>7523.51461734387</v>
      </c>
      <c r="W105" s="4">
        <f t="shared" si="45"/>
        <v>7783.45836029259</v>
      </c>
      <c r="X105" s="4">
        <f t="shared" ref="X105:X133" si="46">X4/X72</f>
        <v>6882.13540983672</v>
      </c>
      <c r="Y105" s="4">
        <f t="shared" ref="Y105:Y133" si="47">Y4/Y72</f>
        <v>5730.54303050149</v>
      </c>
    </row>
    <row r="106" spans="1:25">
      <c r="A106" s="4" t="s">
        <v>4</v>
      </c>
      <c r="B106" s="4">
        <f t="shared" ref="B106:T106" si="48">B5/B73</f>
        <v>1846.29</v>
      </c>
      <c r="C106" s="4">
        <f t="shared" si="48"/>
        <v>1949.54954954955</v>
      </c>
      <c r="D106" s="4">
        <f t="shared" si="48"/>
        <v>2070.49260315592</v>
      </c>
      <c r="E106" s="4">
        <f t="shared" si="48"/>
        <v>2470.80465376245</v>
      </c>
      <c r="F106" s="4">
        <f t="shared" si="48"/>
        <v>3014.3252535992</v>
      </c>
      <c r="G106" s="4">
        <f t="shared" si="48"/>
        <v>3905.3658112838</v>
      </c>
      <c r="H106" s="4">
        <f t="shared" si="48"/>
        <v>4499.24582712441</v>
      </c>
      <c r="I106" s="4">
        <f t="shared" si="48"/>
        <v>5267.9020680072</v>
      </c>
      <c r="J106" s="4">
        <f t="shared" si="48"/>
        <v>6475.05581141819</v>
      </c>
      <c r="K106" s="4">
        <f t="shared" si="48"/>
        <v>7585.67429485443</v>
      </c>
      <c r="L106" s="4">
        <f t="shared" si="48"/>
        <v>8406.75406067248</v>
      </c>
      <c r="M106" s="4">
        <f t="shared" si="48"/>
        <v>10107.7440857309</v>
      </c>
      <c r="N106" s="4">
        <f t="shared" si="48"/>
        <v>11107.5581997349</v>
      </c>
      <c r="O106" s="4">
        <f t="shared" si="48"/>
        <v>11913.9824198429</v>
      </c>
      <c r="P106" s="4">
        <f t="shared" si="48"/>
        <v>12550.3025975021</v>
      </c>
      <c r="Q106" s="4">
        <f t="shared" si="48"/>
        <v>12982.1600192121</v>
      </c>
      <c r="R106" s="4">
        <f t="shared" si="48"/>
        <v>14039.6529992038</v>
      </c>
      <c r="S106" s="4">
        <f t="shared" si="48"/>
        <v>13469.2026454818</v>
      </c>
      <c r="T106" s="4">
        <f t="shared" si="48"/>
        <v>13597.480765915</v>
      </c>
      <c r="U106" s="4">
        <f t="shared" si="44"/>
        <v>14059.5310832033</v>
      </c>
      <c r="V106" s="4">
        <f t="shared" si="45"/>
        <v>14211.0049734239</v>
      </c>
      <c r="W106" s="4">
        <f t="shared" si="45"/>
        <v>14492.4110125016</v>
      </c>
      <c r="X106" s="4">
        <f t="shared" si="46"/>
        <v>15360.8167804413</v>
      </c>
      <c r="Y106" s="4">
        <f t="shared" si="47"/>
        <v>16231.1612699892</v>
      </c>
    </row>
    <row r="107" spans="1:25">
      <c r="A107" s="4" t="s">
        <v>5</v>
      </c>
      <c r="B107" s="4">
        <f t="shared" ref="B107:T107" si="49">B6/B74</f>
        <v>657.6</v>
      </c>
      <c r="C107" s="4">
        <f t="shared" si="49"/>
        <v>730.580137659784</v>
      </c>
      <c r="D107" s="4">
        <f t="shared" si="49"/>
        <v>857.756448827642</v>
      </c>
      <c r="E107" s="4">
        <f t="shared" si="49"/>
        <v>1058.4511234593</v>
      </c>
      <c r="F107" s="4">
        <f t="shared" si="49"/>
        <v>1337.20145427189</v>
      </c>
      <c r="G107" s="4">
        <f t="shared" si="49"/>
        <v>1664.95022086374</v>
      </c>
      <c r="H107" s="4">
        <f t="shared" si="49"/>
        <v>2027.80879399428</v>
      </c>
      <c r="I107" s="4">
        <f t="shared" si="49"/>
        <v>2416.36565882105</v>
      </c>
      <c r="J107" s="4">
        <f t="shared" si="49"/>
        <v>2629.68173741589</v>
      </c>
      <c r="K107" s="4">
        <f t="shared" si="49"/>
        <v>3628.94983954765</v>
      </c>
      <c r="L107" s="4">
        <f t="shared" si="49"/>
        <v>4216.84046356523</v>
      </c>
      <c r="M107" s="4">
        <f t="shared" si="49"/>
        <v>4955.66792953389</v>
      </c>
      <c r="N107" s="4">
        <f t="shared" si="49"/>
        <v>5171.75754184009</v>
      </c>
      <c r="O107" s="4">
        <f t="shared" si="49"/>
        <v>5837.76118715634</v>
      </c>
      <c r="P107" s="4">
        <f t="shared" si="49"/>
        <v>5945.48160890566</v>
      </c>
      <c r="Q107" s="4">
        <f t="shared" si="49"/>
        <v>6056.56967167544</v>
      </c>
      <c r="R107" s="4">
        <f t="shared" si="49"/>
        <v>5746.09219066579</v>
      </c>
      <c r="S107" s="4">
        <f t="shared" si="49"/>
        <v>4327.40669338032</v>
      </c>
      <c r="T107" s="4">
        <f t="shared" si="49"/>
        <v>4377.09940182105</v>
      </c>
      <c r="U107" s="4">
        <f t="shared" si="44"/>
        <v>4600.16312133693</v>
      </c>
      <c r="V107" s="4">
        <f t="shared" si="45"/>
        <v>4944.3930147703</v>
      </c>
      <c r="W107" s="4">
        <f t="shared" si="45"/>
        <v>5321.34178916368</v>
      </c>
      <c r="X107" s="4">
        <f t="shared" si="46"/>
        <v>5519.39368729122</v>
      </c>
      <c r="Y107" s="4">
        <f t="shared" si="47"/>
        <v>5160.27397790791</v>
      </c>
    </row>
    <row r="108" spans="1:25">
      <c r="A108" s="4" t="s">
        <v>6</v>
      </c>
      <c r="B108" s="4">
        <f t="shared" ref="B108:T108" si="50">B7/B75</f>
        <v>439.42</v>
      </c>
      <c r="C108" s="4">
        <f t="shared" si="50"/>
        <v>505.972222222222</v>
      </c>
      <c r="D108" s="4">
        <f t="shared" si="50"/>
        <v>716.417177432029</v>
      </c>
      <c r="E108" s="4">
        <f t="shared" si="50"/>
        <v>1175.8746885549</v>
      </c>
      <c r="F108" s="4">
        <f t="shared" si="50"/>
        <v>1657.33693550761</v>
      </c>
      <c r="G108" s="4">
        <f t="shared" si="50"/>
        <v>2360.92695773575</v>
      </c>
      <c r="H108" s="4">
        <f t="shared" si="50"/>
        <v>2854.63033190434</v>
      </c>
      <c r="I108" s="4">
        <f t="shared" si="50"/>
        <v>3572.16700983598</v>
      </c>
      <c r="J108" s="4">
        <f t="shared" si="50"/>
        <v>4189.21195358977</v>
      </c>
      <c r="K108" s="4">
        <f t="shared" si="50"/>
        <v>5718.06245795249</v>
      </c>
      <c r="L108" s="4">
        <f t="shared" si="50"/>
        <v>6530.94976749233</v>
      </c>
      <c r="M108" s="4">
        <f t="shared" si="50"/>
        <v>7448.75837692744</v>
      </c>
      <c r="N108" s="4">
        <f t="shared" si="50"/>
        <v>8763.75950536824</v>
      </c>
      <c r="O108" s="4">
        <f t="shared" si="50"/>
        <v>10383.4605064926</v>
      </c>
      <c r="P108" s="4">
        <f t="shared" si="50"/>
        <v>9156.57727863358</v>
      </c>
      <c r="Q108" s="4">
        <f t="shared" si="50"/>
        <v>9614.67523954952</v>
      </c>
      <c r="R108" s="4">
        <f t="shared" si="50"/>
        <v>8717.29034595683</v>
      </c>
      <c r="S108" s="4">
        <f t="shared" si="50"/>
        <v>7014.72870063068</v>
      </c>
      <c r="T108" s="4">
        <f t="shared" si="50"/>
        <v>4854.78810651756</v>
      </c>
      <c r="U108" s="4">
        <f t="shared" si="44"/>
        <v>5093.46992099729</v>
      </c>
      <c r="V108" s="4">
        <f t="shared" si="45"/>
        <v>4923.52097368236</v>
      </c>
      <c r="W108" s="4">
        <f t="shared" si="45"/>
        <v>5357.80577710925</v>
      </c>
      <c r="X108" s="4">
        <f t="shared" si="46"/>
        <v>6189.37091736787</v>
      </c>
      <c r="Y108" s="4">
        <f t="shared" si="47"/>
        <v>7370.6425039828</v>
      </c>
    </row>
    <row r="109" spans="1:25">
      <c r="A109" s="4" t="s">
        <v>7</v>
      </c>
      <c r="B109" s="4">
        <f t="shared" ref="B109:T109" si="51">B8/B76</f>
        <v>1293.92</v>
      </c>
      <c r="C109" s="4">
        <f t="shared" si="51"/>
        <v>1438.39641434263</v>
      </c>
      <c r="D109" s="4">
        <f t="shared" si="51"/>
        <v>1609.80704787602</v>
      </c>
      <c r="E109" s="4">
        <f t="shared" si="51"/>
        <v>2028.45941783282</v>
      </c>
      <c r="F109" s="4">
        <f t="shared" si="51"/>
        <v>2693.38430629689</v>
      </c>
      <c r="G109" s="4">
        <f t="shared" si="51"/>
        <v>3833.33658953479</v>
      </c>
      <c r="H109" s="4">
        <f t="shared" si="51"/>
        <v>4625.06774761796</v>
      </c>
      <c r="I109" s="4">
        <f t="shared" si="51"/>
        <v>5296.57712483639</v>
      </c>
      <c r="J109" s="4">
        <f t="shared" si="51"/>
        <v>6243.58030491563</v>
      </c>
      <c r="K109" s="4">
        <f t="shared" si="51"/>
        <v>7078.74332497748</v>
      </c>
      <c r="L109" s="4">
        <f t="shared" si="51"/>
        <v>8524.62702765951</v>
      </c>
      <c r="M109" s="4">
        <f t="shared" si="51"/>
        <v>9725.47941099294</v>
      </c>
      <c r="N109" s="4">
        <f t="shared" si="51"/>
        <v>10754.6944356365</v>
      </c>
      <c r="O109" s="4">
        <f t="shared" si="51"/>
        <v>11776.7391399374</v>
      </c>
      <c r="P109" s="4">
        <f t="shared" si="51"/>
        <v>12133.0220481924</v>
      </c>
      <c r="Q109" s="4">
        <f t="shared" si="51"/>
        <v>8858.11176670041</v>
      </c>
      <c r="R109" s="4">
        <f t="shared" si="51"/>
        <v>6769.13169705048</v>
      </c>
      <c r="S109" s="4">
        <f t="shared" si="51"/>
        <v>6840.43292895987</v>
      </c>
      <c r="T109" s="4">
        <f t="shared" si="51"/>
        <v>6853.65115684192</v>
      </c>
      <c r="U109" s="4">
        <f t="shared" si="44"/>
        <v>6667.51902067163</v>
      </c>
      <c r="V109" s="4">
        <f t="shared" si="45"/>
        <v>6680.54151875889</v>
      </c>
      <c r="W109" s="4">
        <f t="shared" si="45"/>
        <v>6779.65934544668</v>
      </c>
      <c r="X109" s="4">
        <f t="shared" si="46"/>
        <v>6886.0069430223</v>
      </c>
      <c r="Y109" s="4">
        <f t="shared" si="47"/>
        <v>7154.29292781539</v>
      </c>
    </row>
    <row r="110" spans="1:25">
      <c r="A110" s="4" t="s">
        <v>8</v>
      </c>
      <c r="B110" s="4">
        <f t="shared" ref="B110:T110" si="52">B9/B77</f>
        <v>627.74</v>
      </c>
      <c r="C110" s="4">
        <f t="shared" si="52"/>
        <v>692.037586547972</v>
      </c>
      <c r="D110" s="4">
        <f t="shared" si="52"/>
        <v>805.565655262469</v>
      </c>
      <c r="E110" s="4">
        <f t="shared" si="52"/>
        <v>964.919830562514</v>
      </c>
      <c r="F110" s="4">
        <f t="shared" si="52"/>
        <v>1199.75338340292</v>
      </c>
      <c r="G110" s="4">
        <f t="shared" si="52"/>
        <v>1641.0426309434</v>
      </c>
      <c r="H110" s="4">
        <f t="shared" si="52"/>
        <v>2498.26384307322</v>
      </c>
      <c r="I110" s="4">
        <f t="shared" si="52"/>
        <v>3432.4557719912</v>
      </c>
      <c r="J110" s="4">
        <f t="shared" si="52"/>
        <v>4481.58199461117</v>
      </c>
      <c r="K110" s="4">
        <f t="shared" si="52"/>
        <v>5049.05404909806</v>
      </c>
      <c r="L110" s="4">
        <f t="shared" si="52"/>
        <v>5980.78454634675</v>
      </c>
      <c r="M110" s="4">
        <f t="shared" si="52"/>
        <v>6211.89138303552</v>
      </c>
      <c r="N110" s="4">
        <f t="shared" si="52"/>
        <v>6838.3621534492</v>
      </c>
      <c r="O110" s="4">
        <f t="shared" si="52"/>
        <v>7220.82994827691</v>
      </c>
      <c r="P110" s="4">
        <f t="shared" si="52"/>
        <v>7665.45855843962</v>
      </c>
      <c r="Q110" s="4">
        <f t="shared" si="52"/>
        <v>8329.87077129384</v>
      </c>
      <c r="R110" s="4">
        <f t="shared" si="52"/>
        <v>7814.01124798448</v>
      </c>
      <c r="S110" s="4">
        <f t="shared" si="52"/>
        <v>7337.32936099067</v>
      </c>
      <c r="T110" s="4">
        <f t="shared" si="52"/>
        <v>7126.8897043657</v>
      </c>
      <c r="U110" s="4">
        <f t="shared" si="44"/>
        <v>5820.98788719148</v>
      </c>
      <c r="V110" s="4">
        <f t="shared" si="45"/>
        <v>6162.39480139626</v>
      </c>
      <c r="W110" s="4">
        <f t="shared" si="45"/>
        <v>6799.46146078517</v>
      </c>
      <c r="X110" s="4">
        <f t="shared" si="46"/>
        <v>6499.77902617657</v>
      </c>
      <c r="Y110" s="4">
        <f t="shared" si="47"/>
        <v>6525.80416742251</v>
      </c>
    </row>
    <row r="111" spans="1:25">
      <c r="A111" s="4" t="s">
        <v>9</v>
      </c>
      <c r="B111" s="4">
        <f t="shared" ref="B111:T111" si="53">B10/B78</f>
        <v>922.4</v>
      </c>
      <c r="C111" s="4">
        <f t="shared" si="53"/>
        <v>1045.75424575425</v>
      </c>
      <c r="D111" s="4">
        <f t="shared" si="53"/>
        <v>1149.44935304217</v>
      </c>
      <c r="E111" s="4">
        <f t="shared" si="53"/>
        <v>1229.25211165154</v>
      </c>
      <c r="F111" s="4">
        <f t="shared" si="53"/>
        <v>1407.9132758406</v>
      </c>
      <c r="G111" s="4">
        <f t="shared" si="53"/>
        <v>1624.47336633926</v>
      </c>
      <c r="H111" s="4">
        <f t="shared" si="53"/>
        <v>1985.44839517788</v>
      </c>
      <c r="I111" s="4">
        <f t="shared" si="53"/>
        <v>2449.66662101231</v>
      </c>
      <c r="J111" s="4">
        <f t="shared" si="53"/>
        <v>2854.53702379234</v>
      </c>
      <c r="K111" s="4">
        <f t="shared" si="53"/>
        <v>3587.44352493737</v>
      </c>
      <c r="L111" s="4">
        <f t="shared" si="53"/>
        <v>4115.12733080226</v>
      </c>
      <c r="M111" s="4">
        <f t="shared" si="53"/>
        <v>4669.11317858631</v>
      </c>
      <c r="N111" s="4">
        <f t="shared" si="53"/>
        <v>5491.7799295142</v>
      </c>
      <c r="O111" s="4">
        <f t="shared" si="53"/>
        <v>6418.45496974942</v>
      </c>
      <c r="P111" s="4">
        <f t="shared" si="53"/>
        <v>6512.79513528574</v>
      </c>
      <c r="Q111" s="4">
        <f t="shared" si="53"/>
        <v>6844.96814254898</v>
      </c>
      <c r="R111" s="4">
        <f t="shared" si="53"/>
        <v>6520.96162715307</v>
      </c>
      <c r="S111" s="4">
        <f t="shared" si="53"/>
        <v>6651.07137086022</v>
      </c>
      <c r="T111" s="4">
        <f t="shared" si="53"/>
        <v>6135.98355898334</v>
      </c>
      <c r="U111" s="4">
        <f t="shared" si="44"/>
        <v>6470.78424920564</v>
      </c>
      <c r="V111" s="4">
        <f t="shared" si="45"/>
        <v>6553.01317905867</v>
      </c>
      <c r="W111" s="4">
        <f t="shared" si="45"/>
        <v>6930.82109594278</v>
      </c>
      <c r="X111" s="4">
        <f t="shared" si="46"/>
        <v>6842.40041464026</v>
      </c>
      <c r="Y111" s="4">
        <f t="shared" si="47"/>
        <v>5794.95542074901</v>
      </c>
    </row>
    <row r="112" spans="1:25">
      <c r="A112" s="4" t="s">
        <v>10</v>
      </c>
      <c r="B112" s="4">
        <f t="shared" ref="B112:T112" si="54">B11/B79</f>
        <v>1933.01</v>
      </c>
      <c r="C112" s="4">
        <f t="shared" si="54"/>
        <v>2085.39225422046</v>
      </c>
      <c r="D112" s="4">
        <f t="shared" si="54"/>
        <v>2342.62455929134</v>
      </c>
      <c r="E112" s="4">
        <f t="shared" si="54"/>
        <v>2555.5142386891</v>
      </c>
      <c r="F112" s="4">
        <f t="shared" si="54"/>
        <v>2935.09073595988</v>
      </c>
      <c r="G112" s="4">
        <f t="shared" si="54"/>
        <v>3394.10219263273</v>
      </c>
      <c r="H112" s="4">
        <f t="shared" si="54"/>
        <v>3936.54099579562</v>
      </c>
      <c r="I112" s="4">
        <f t="shared" si="54"/>
        <v>4505.53913369234</v>
      </c>
      <c r="J112" s="4">
        <f t="shared" si="54"/>
        <v>4514.99820398292</v>
      </c>
      <c r="K112" s="4">
        <f t="shared" si="54"/>
        <v>5345.27163512528</v>
      </c>
      <c r="L112" s="4">
        <f t="shared" si="54"/>
        <v>5095.9231528963</v>
      </c>
      <c r="M112" s="4">
        <f t="shared" si="54"/>
        <v>5100.96920353811</v>
      </c>
      <c r="N112" s="4">
        <f t="shared" si="54"/>
        <v>5290.76495925988</v>
      </c>
      <c r="O112" s="4">
        <f t="shared" si="54"/>
        <v>5735.44847368309</v>
      </c>
      <c r="P112" s="4">
        <f t="shared" si="54"/>
        <v>6010.61813662139</v>
      </c>
      <c r="Q112" s="4">
        <f t="shared" si="54"/>
        <v>6951.43482128581</v>
      </c>
      <c r="R112" s="4">
        <f t="shared" si="54"/>
        <v>8244.57196822309</v>
      </c>
      <c r="S112" s="4">
        <f t="shared" si="54"/>
        <v>8363.41687800341</v>
      </c>
      <c r="T112" s="4">
        <f t="shared" si="54"/>
        <v>8331.73726861703</v>
      </c>
      <c r="U112" s="4">
        <f t="shared" si="44"/>
        <v>8635.75529518392</v>
      </c>
      <c r="V112" s="4">
        <f t="shared" si="45"/>
        <v>9366.01582162029</v>
      </c>
      <c r="W112" s="4">
        <f t="shared" si="45"/>
        <v>9995.35285311262</v>
      </c>
      <c r="X112" s="4">
        <f t="shared" si="46"/>
        <v>9654.0481215429</v>
      </c>
      <c r="Y112" s="4">
        <f t="shared" si="47"/>
        <v>10953.4464230467</v>
      </c>
    </row>
    <row r="113" spans="1:25">
      <c r="A113" s="4" t="s">
        <v>11</v>
      </c>
      <c r="B113" s="4">
        <f t="shared" ref="B113:T113" si="55">B12/B80</f>
        <v>3225.42</v>
      </c>
      <c r="C113" s="4">
        <f t="shared" si="55"/>
        <v>3515.03968253968</v>
      </c>
      <c r="D113" s="4">
        <f t="shared" si="55"/>
        <v>3896.29278456712</v>
      </c>
      <c r="E113" s="4">
        <f t="shared" si="55"/>
        <v>5125.99479726866</v>
      </c>
      <c r="F113" s="4">
        <f t="shared" si="55"/>
        <v>5960.96564637331</v>
      </c>
      <c r="G113" s="4">
        <f t="shared" si="55"/>
        <v>7531.32338133036</v>
      </c>
      <c r="H113" s="4">
        <f t="shared" si="55"/>
        <v>8430.30315302288</v>
      </c>
      <c r="I113" s="4">
        <f t="shared" si="55"/>
        <v>9360.29640746286</v>
      </c>
      <c r="J113" s="4">
        <f t="shared" si="55"/>
        <v>10185.9914481649</v>
      </c>
      <c r="K113" s="4">
        <f t="shared" si="55"/>
        <v>12727.4779649472</v>
      </c>
      <c r="L113" s="4">
        <f t="shared" si="55"/>
        <v>14633.2845188772</v>
      </c>
      <c r="M113" s="4">
        <f t="shared" si="55"/>
        <v>16224.3997610521</v>
      </c>
      <c r="N113" s="4">
        <f t="shared" si="55"/>
        <v>17725.1369177325</v>
      </c>
      <c r="O113" s="4">
        <f t="shared" si="55"/>
        <v>18502.0327605972</v>
      </c>
      <c r="P113" s="4">
        <f t="shared" si="55"/>
        <v>19017.3170661043</v>
      </c>
      <c r="Q113" s="4">
        <f t="shared" si="55"/>
        <v>20554.3139644796</v>
      </c>
      <c r="R113" s="4">
        <f t="shared" si="55"/>
        <v>22411.6314957436</v>
      </c>
      <c r="S113" s="4">
        <f t="shared" si="55"/>
        <v>23516.4488882287</v>
      </c>
      <c r="T113" s="4">
        <f t="shared" si="55"/>
        <v>23405.5222425295</v>
      </c>
      <c r="U113" s="4">
        <f t="shared" si="44"/>
        <v>24283.5181410647</v>
      </c>
      <c r="V113" s="4">
        <f t="shared" si="45"/>
        <v>23762.3109224271</v>
      </c>
      <c r="W113" s="4">
        <f t="shared" si="45"/>
        <v>24744.6111770944</v>
      </c>
      <c r="X113" s="4">
        <f t="shared" si="46"/>
        <v>25132.0023501214</v>
      </c>
      <c r="Y113" s="4">
        <f t="shared" si="47"/>
        <v>26333.5323429559</v>
      </c>
    </row>
    <row r="114" spans="1:25">
      <c r="A114" s="4" t="s">
        <v>12</v>
      </c>
      <c r="B114" s="4">
        <f t="shared" ref="B114:T114" si="56">B13/B81</f>
        <v>2267.2</v>
      </c>
      <c r="C114" s="4">
        <f t="shared" si="56"/>
        <v>2634.86055776892</v>
      </c>
      <c r="D114" s="4">
        <f t="shared" si="56"/>
        <v>3226.03119858873</v>
      </c>
      <c r="E114" s="4">
        <f t="shared" si="56"/>
        <v>4289.7891932642</v>
      </c>
      <c r="F114" s="4">
        <f t="shared" si="56"/>
        <v>5030.84445231611</v>
      </c>
      <c r="G114" s="4">
        <f t="shared" si="56"/>
        <v>5651.61197220114</v>
      </c>
      <c r="H114" s="4">
        <f t="shared" si="56"/>
        <v>6275.51050536055</v>
      </c>
      <c r="I114" s="4">
        <f t="shared" si="56"/>
        <v>6799.83927663256</v>
      </c>
      <c r="J114" s="4">
        <f t="shared" si="56"/>
        <v>6847.95236864707</v>
      </c>
      <c r="K114" s="4">
        <f t="shared" si="56"/>
        <v>8226.33186266972</v>
      </c>
      <c r="L114" s="4">
        <f t="shared" si="56"/>
        <v>9303.27522560698</v>
      </c>
      <c r="M114" s="4">
        <f t="shared" si="56"/>
        <v>9885.39040915258</v>
      </c>
      <c r="N114" s="4">
        <f t="shared" si="56"/>
        <v>10530.7902730941</v>
      </c>
      <c r="O114" s="4">
        <f t="shared" si="56"/>
        <v>11635.3230394006</v>
      </c>
      <c r="P114" s="4">
        <f t="shared" si="56"/>
        <v>12183.0822172288</v>
      </c>
      <c r="Q114" s="4">
        <f t="shared" si="56"/>
        <v>13400.2831650928</v>
      </c>
      <c r="R114" s="4">
        <f t="shared" si="56"/>
        <v>15290.0008511927</v>
      </c>
      <c r="S114" s="4">
        <f t="shared" si="56"/>
        <v>15279.1028607352</v>
      </c>
      <c r="T114" s="4">
        <f t="shared" si="56"/>
        <v>15481.4750840562</v>
      </c>
      <c r="U114" s="4">
        <f t="shared" si="44"/>
        <v>16679.3561140664</v>
      </c>
      <c r="V114" s="4">
        <f t="shared" si="45"/>
        <v>17184.791147826</v>
      </c>
      <c r="W114" s="4">
        <f t="shared" si="45"/>
        <v>18759.3582185136</v>
      </c>
      <c r="X114" s="4">
        <f t="shared" si="46"/>
        <v>20025.8902313094</v>
      </c>
      <c r="Y114" s="4">
        <f t="shared" si="47"/>
        <v>21183.9177820731</v>
      </c>
    </row>
    <row r="115" spans="1:25">
      <c r="A115" s="4" t="s">
        <v>13</v>
      </c>
      <c r="B115" s="4">
        <f t="shared" ref="B115:T115" si="57">B14/B82</f>
        <v>928.09</v>
      </c>
      <c r="C115" s="4">
        <f t="shared" si="57"/>
        <v>1017.39698492462</v>
      </c>
      <c r="D115" s="4">
        <f t="shared" si="57"/>
        <v>1131.47339069233</v>
      </c>
      <c r="E115" s="4">
        <f t="shared" si="57"/>
        <v>1308.33787337179</v>
      </c>
      <c r="F115" s="4">
        <f t="shared" si="57"/>
        <v>1699.8390447484</v>
      </c>
      <c r="G115" s="4">
        <f t="shared" si="57"/>
        <v>1984.47616972464</v>
      </c>
      <c r="H115" s="4">
        <f t="shared" si="57"/>
        <v>2336.95140124163</v>
      </c>
      <c r="I115" s="4">
        <f t="shared" si="57"/>
        <v>2791.2672434536</v>
      </c>
      <c r="J115" s="4">
        <f t="shared" si="57"/>
        <v>3226.41288852501</v>
      </c>
      <c r="K115" s="4">
        <f t="shared" si="57"/>
        <v>3830.30881288047</v>
      </c>
      <c r="L115" s="4">
        <f t="shared" si="57"/>
        <v>4569.36055372751</v>
      </c>
      <c r="M115" s="4">
        <f t="shared" si="57"/>
        <v>5296.27776464225</v>
      </c>
      <c r="N115" s="4">
        <f t="shared" si="57"/>
        <v>5994.0778754698</v>
      </c>
      <c r="O115" s="4">
        <f t="shared" si="57"/>
        <v>6711.33901462551</v>
      </c>
      <c r="P115" s="4">
        <f t="shared" si="57"/>
        <v>7367.82494558376</v>
      </c>
      <c r="Q115" s="4">
        <f t="shared" si="57"/>
        <v>7874.85939108402</v>
      </c>
      <c r="R115" s="4">
        <f t="shared" si="57"/>
        <v>8823.67580924557</v>
      </c>
      <c r="S115" s="4">
        <f t="shared" si="57"/>
        <v>9030.29391735216</v>
      </c>
      <c r="T115" s="4">
        <f t="shared" si="57"/>
        <v>9542.40888430975</v>
      </c>
      <c r="U115" s="4">
        <f t="shared" si="44"/>
        <v>10186.0317709348</v>
      </c>
      <c r="V115" s="4">
        <f t="shared" si="45"/>
        <v>10424.0695143646</v>
      </c>
      <c r="W115" s="4">
        <f t="shared" si="45"/>
        <v>11302.2121394597</v>
      </c>
      <c r="X115" s="4">
        <f t="shared" si="46"/>
        <v>12077.8541490305</v>
      </c>
      <c r="Y115" s="4">
        <f t="shared" si="47"/>
        <v>12535.8965219478</v>
      </c>
    </row>
    <row r="116" spans="1:25">
      <c r="A116" s="4" t="s">
        <v>14</v>
      </c>
      <c r="B116" s="4">
        <f t="shared" ref="B116:T116" si="58">B15/B83</f>
        <v>1216.91</v>
      </c>
      <c r="C116" s="4">
        <f t="shared" si="58"/>
        <v>1276.31155778894</v>
      </c>
      <c r="D116" s="4">
        <f t="shared" si="58"/>
        <v>1394.67649178692</v>
      </c>
      <c r="E116" s="4">
        <f t="shared" si="58"/>
        <v>1662.81405941631</v>
      </c>
      <c r="F116" s="4">
        <f t="shared" si="58"/>
        <v>2019.49051565613</v>
      </c>
      <c r="G116" s="4">
        <f t="shared" si="58"/>
        <v>2534.83761546859</v>
      </c>
      <c r="H116" s="4">
        <f t="shared" si="58"/>
        <v>3098.42721931669</v>
      </c>
      <c r="I116" s="4">
        <f t="shared" si="58"/>
        <v>3840.39106908227</v>
      </c>
      <c r="J116" s="4">
        <f t="shared" si="58"/>
        <v>4675.14613332057</v>
      </c>
      <c r="K116" s="4">
        <f t="shared" si="58"/>
        <v>5483.34395889336</v>
      </c>
      <c r="L116" s="4">
        <f t="shared" si="58"/>
        <v>6052.91048768449</v>
      </c>
      <c r="M116" s="4">
        <f t="shared" si="58"/>
        <v>7034.03286901689</v>
      </c>
      <c r="N116" s="4">
        <f t="shared" si="58"/>
        <v>7949.26668772754</v>
      </c>
      <c r="O116" s="4">
        <f t="shared" si="58"/>
        <v>9030.37572446882</v>
      </c>
      <c r="P116" s="4">
        <f t="shared" si="58"/>
        <v>10041.4025181292</v>
      </c>
      <c r="Q116" s="4">
        <f t="shared" si="58"/>
        <v>11078.6584401657</v>
      </c>
      <c r="R116" s="4">
        <f t="shared" si="58"/>
        <v>12203.572833906</v>
      </c>
      <c r="S116" s="4">
        <f t="shared" si="58"/>
        <v>13086.1160888724</v>
      </c>
      <c r="T116" s="4">
        <f t="shared" si="58"/>
        <v>13909.4560906509</v>
      </c>
      <c r="U116" s="4">
        <f t="shared" si="44"/>
        <v>14512.4275862062</v>
      </c>
      <c r="V116" s="4">
        <f t="shared" si="45"/>
        <v>14143.2268844045</v>
      </c>
      <c r="W116" s="4">
        <f t="shared" si="45"/>
        <v>14887.6072467415</v>
      </c>
      <c r="X116" s="4">
        <f t="shared" si="46"/>
        <v>15705.7681945507</v>
      </c>
      <c r="Y116" s="4">
        <f t="shared" si="47"/>
        <v>16098.4123994144</v>
      </c>
    </row>
    <row r="117" spans="1:25">
      <c r="A117" s="4" t="s">
        <v>15</v>
      </c>
      <c r="B117" s="4">
        <f t="shared" ref="B117:T117" si="59">B16/B84</f>
        <v>605.54</v>
      </c>
      <c r="C117" s="4">
        <f t="shared" si="59"/>
        <v>704.448938321537</v>
      </c>
      <c r="D117" s="4">
        <f t="shared" si="59"/>
        <v>942.16380182002</v>
      </c>
      <c r="E117" s="4">
        <f t="shared" si="59"/>
        <v>1221.7359556453</v>
      </c>
      <c r="F117" s="4">
        <f t="shared" si="59"/>
        <v>1463.26783354414</v>
      </c>
      <c r="G117" s="4">
        <f t="shared" si="59"/>
        <v>1713.19432835589</v>
      </c>
      <c r="H117" s="4">
        <f t="shared" si="59"/>
        <v>2091.87557644359</v>
      </c>
      <c r="I117" s="4">
        <f t="shared" si="59"/>
        <v>2443.80212608668</v>
      </c>
      <c r="J117" s="4">
        <f t="shared" si="59"/>
        <v>2728.2395947633</v>
      </c>
      <c r="K117" s="4">
        <f t="shared" si="59"/>
        <v>3153.24635626074</v>
      </c>
      <c r="L117" s="4">
        <f t="shared" si="59"/>
        <v>3493.49875501588</v>
      </c>
      <c r="M117" s="4">
        <f t="shared" si="59"/>
        <v>3933.57087058451</v>
      </c>
      <c r="N117" s="4">
        <f t="shared" si="59"/>
        <v>4241.54795128971</v>
      </c>
      <c r="O117" s="4">
        <f t="shared" si="59"/>
        <v>4541.83680482735</v>
      </c>
      <c r="P117" s="4">
        <f t="shared" si="59"/>
        <v>4606.08685784329</v>
      </c>
      <c r="Q117" s="4">
        <f t="shared" si="59"/>
        <v>5332.02035263618</v>
      </c>
      <c r="R117" s="4">
        <f t="shared" si="59"/>
        <v>6247.78412327081</v>
      </c>
      <c r="S117" s="4">
        <f t="shared" si="59"/>
        <v>6350.90278409148</v>
      </c>
      <c r="T117" s="4">
        <f t="shared" si="59"/>
        <v>6631.44078301282</v>
      </c>
      <c r="U117" s="4">
        <f t="shared" si="44"/>
        <v>7071.80989750976</v>
      </c>
      <c r="V117" s="4">
        <f t="shared" si="45"/>
        <v>7457.79562290988</v>
      </c>
      <c r="W117" s="4">
        <f t="shared" si="45"/>
        <v>8189.53176430544</v>
      </c>
      <c r="X117" s="4">
        <f t="shared" si="46"/>
        <v>8719.44264317224</v>
      </c>
      <c r="Y117" s="4">
        <f t="shared" si="47"/>
        <v>8180.45416473089</v>
      </c>
    </row>
    <row r="118" spans="1:25">
      <c r="A118" s="4" t="s">
        <v>16</v>
      </c>
      <c r="B118" s="4">
        <f t="shared" ref="B118:T118" si="60">B17/B85</f>
        <v>3159.03</v>
      </c>
      <c r="C118" s="4">
        <f t="shared" si="60"/>
        <v>3469.67455621302</v>
      </c>
      <c r="D118" s="4">
        <f t="shared" si="60"/>
        <v>4089.70749760524</v>
      </c>
      <c r="E118" s="4">
        <f t="shared" si="60"/>
        <v>4911.27235091198</v>
      </c>
      <c r="F118" s="4">
        <f t="shared" si="60"/>
        <v>6086.85413570554</v>
      </c>
      <c r="G118" s="4">
        <f t="shared" si="60"/>
        <v>7698.37719157722</v>
      </c>
      <c r="H118" s="4">
        <f t="shared" si="60"/>
        <v>9124.95794813499</v>
      </c>
      <c r="I118" s="4">
        <f t="shared" si="60"/>
        <v>10132.3223576056</v>
      </c>
      <c r="J118" s="4">
        <f t="shared" si="60"/>
        <v>11310.5775345888</v>
      </c>
      <c r="K118" s="4">
        <f t="shared" si="60"/>
        <v>13768.0519275012</v>
      </c>
      <c r="L118" s="4">
        <f t="shared" si="60"/>
        <v>15587.2795391232</v>
      </c>
      <c r="M118" s="4">
        <f t="shared" si="60"/>
        <v>17037.0640719314</v>
      </c>
      <c r="N118" s="4">
        <f t="shared" si="60"/>
        <v>18661.3004621979</v>
      </c>
      <c r="O118" s="4">
        <f t="shared" si="60"/>
        <v>20279.0549477167</v>
      </c>
      <c r="P118" s="4">
        <f t="shared" si="60"/>
        <v>21875.7314112865</v>
      </c>
      <c r="Q118" s="4">
        <f t="shared" si="60"/>
        <v>23510.251343408</v>
      </c>
      <c r="R118" s="4">
        <f t="shared" si="60"/>
        <v>23951.6972644295</v>
      </c>
      <c r="S118" s="4">
        <f t="shared" si="60"/>
        <v>23418.2451578436</v>
      </c>
      <c r="T118" s="4">
        <f t="shared" si="60"/>
        <v>22976.807925839</v>
      </c>
      <c r="U118" s="4">
        <f t="shared" si="44"/>
        <v>20518.2000738523</v>
      </c>
      <c r="V118" s="4">
        <f t="shared" si="45"/>
        <v>20677.8747825983</v>
      </c>
      <c r="W118" s="4">
        <f t="shared" si="45"/>
        <v>21658.6435469902</v>
      </c>
      <c r="X118" s="4">
        <f t="shared" si="46"/>
        <v>22595.6940052671</v>
      </c>
      <c r="Y118" s="4">
        <f t="shared" si="47"/>
        <v>23746.9231703706</v>
      </c>
    </row>
    <row r="119" spans="1:25">
      <c r="A119" s="4" t="s">
        <v>17</v>
      </c>
      <c r="B119" s="4">
        <f t="shared" ref="B119:T119" si="61">B18/B86</f>
        <v>1641.43</v>
      </c>
      <c r="C119" s="4">
        <f t="shared" si="61"/>
        <v>1783.62549800797</v>
      </c>
      <c r="D119" s="4">
        <f t="shared" si="61"/>
        <v>2037.01909686482</v>
      </c>
      <c r="E119" s="4">
        <f t="shared" si="61"/>
        <v>2364.1361916352</v>
      </c>
      <c r="F119" s="4">
        <f t="shared" si="61"/>
        <v>2840.72388400972</v>
      </c>
      <c r="G119" s="4">
        <f t="shared" si="61"/>
        <v>3924.55097543066</v>
      </c>
      <c r="H119" s="4">
        <f t="shared" si="61"/>
        <v>5143.90109478108</v>
      </c>
      <c r="I119" s="4">
        <f t="shared" si="61"/>
        <v>6590.79922032038</v>
      </c>
      <c r="J119" s="4">
        <f t="shared" si="61"/>
        <v>7744.29394388945</v>
      </c>
      <c r="K119" s="4">
        <f t="shared" si="61"/>
        <v>10134.6780930016</v>
      </c>
      <c r="L119" s="4">
        <f t="shared" si="61"/>
        <v>11832.3227791531</v>
      </c>
      <c r="M119" s="4">
        <f t="shared" si="61"/>
        <v>13202.4091056794</v>
      </c>
      <c r="N119" s="4">
        <f t="shared" si="61"/>
        <v>15050.3082133538</v>
      </c>
      <c r="O119" s="4">
        <f t="shared" si="61"/>
        <v>16948.4210021904</v>
      </c>
      <c r="P119" s="4">
        <f t="shared" si="61"/>
        <v>18533.5018149694</v>
      </c>
      <c r="Q119" s="4">
        <f t="shared" si="61"/>
        <v>19749.1545005141</v>
      </c>
      <c r="R119" s="4">
        <f t="shared" si="61"/>
        <v>21253.2183947613</v>
      </c>
      <c r="S119" s="4">
        <f t="shared" si="61"/>
        <v>20337.2390959599</v>
      </c>
      <c r="T119" s="4">
        <f t="shared" si="61"/>
        <v>20858.2120139778</v>
      </c>
      <c r="U119" s="4">
        <f t="shared" si="44"/>
        <v>21828.3614099768</v>
      </c>
      <c r="V119" s="4">
        <f t="shared" si="45"/>
        <v>22146.868628994</v>
      </c>
      <c r="W119" s="4">
        <f t="shared" si="45"/>
        <v>22937.0443184328</v>
      </c>
      <c r="X119" s="4">
        <f t="shared" si="46"/>
        <v>24112.1441258796</v>
      </c>
      <c r="Y119" s="4">
        <f t="shared" si="47"/>
        <v>24667.8348221674</v>
      </c>
    </row>
    <row r="120" spans="1:25">
      <c r="A120" s="4" t="s">
        <v>18</v>
      </c>
      <c r="B120" s="4">
        <f t="shared" ref="B120:T120" si="62">B19/B87</f>
        <v>1451.85</v>
      </c>
      <c r="C120" s="4">
        <f t="shared" si="62"/>
        <v>1609.32067932068</v>
      </c>
      <c r="D120" s="4">
        <f t="shared" si="62"/>
        <v>1701.48488785763</v>
      </c>
      <c r="E120" s="4">
        <f t="shared" si="62"/>
        <v>1817.67804137422</v>
      </c>
      <c r="F120" s="4">
        <f t="shared" si="62"/>
        <v>2126.2514925067</v>
      </c>
      <c r="G120" s="4">
        <f t="shared" si="62"/>
        <v>2508.17512727355</v>
      </c>
      <c r="H120" s="4">
        <f t="shared" si="62"/>
        <v>3123.89033524609</v>
      </c>
      <c r="I120" s="4">
        <f t="shared" si="62"/>
        <v>3689.55940758724</v>
      </c>
      <c r="J120" s="4">
        <f t="shared" si="62"/>
        <v>4142.4289116212</v>
      </c>
      <c r="K120" s="4">
        <f t="shared" si="62"/>
        <v>5164.0946808658</v>
      </c>
      <c r="L120" s="4">
        <f t="shared" si="62"/>
        <v>6116.37183585294</v>
      </c>
      <c r="M120" s="4">
        <f t="shared" si="62"/>
        <v>7366.74538702962</v>
      </c>
      <c r="N120" s="4">
        <f t="shared" si="62"/>
        <v>8238.14951987861</v>
      </c>
      <c r="O120" s="4">
        <f t="shared" si="62"/>
        <v>9309.46678822832</v>
      </c>
      <c r="P120" s="4">
        <f t="shared" si="62"/>
        <v>10388.4712367706</v>
      </c>
      <c r="Q120" s="4">
        <f t="shared" si="62"/>
        <v>11340.7783788932</v>
      </c>
      <c r="R120" s="4">
        <f t="shared" si="62"/>
        <v>12518.3435134655</v>
      </c>
      <c r="S120" s="4">
        <f t="shared" si="62"/>
        <v>13142.8700233067</v>
      </c>
      <c r="T120" s="4">
        <f t="shared" si="62"/>
        <v>13685.3524632931</v>
      </c>
      <c r="U120" s="4">
        <f t="shared" si="44"/>
        <v>14567.0049777553</v>
      </c>
      <c r="V120" s="4">
        <f t="shared" si="45"/>
        <v>11517.4372365504</v>
      </c>
      <c r="W120" s="4">
        <f t="shared" si="45"/>
        <v>13825.5178791692</v>
      </c>
      <c r="X120" s="4">
        <f t="shared" si="46"/>
        <v>15572.3267003375</v>
      </c>
      <c r="Y120" s="4">
        <f t="shared" si="47"/>
        <v>16334.6084269274</v>
      </c>
    </row>
    <row r="121" spans="1:25">
      <c r="A121" s="4" t="s">
        <v>19</v>
      </c>
      <c r="B121" s="4">
        <f t="shared" ref="B121:T121" si="63">B20/B88</f>
        <v>1082</v>
      </c>
      <c r="C121" s="4">
        <f t="shared" si="63"/>
        <v>1217.34452122409</v>
      </c>
      <c r="D121" s="4">
        <f t="shared" si="63"/>
        <v>1359.09153093533</v>
      </c>
      <c r="E121" s="4">
        <f t="shared" si="63"/>
        <v>1544.41205443633</v>
      </c>
      <c r="F121" s="4">
        <f t="shared" si="63"/>
        <v>1795.30563326924</v>
      </c>
      <c r="G121" s="4">
        <f t="shared" si="63"/>
        <v>2207.75215122049</v>
      </c>
      <c r="H121" s="4">
        <f t="shared" si="63"/>
        <v>2684.09957470781</v>
      </c>
      <c r="I121" s="4">
        <f t="shared" si="63"/>
        <v>3368.71012509946</v>
      </c>
      <c r="J121" s="4">
        <f t="shared" si="63"/>
        <v>4071.20504184706</v>
      </c>
      <c r="K121" s="4">
        <f t="shared" si="63"/>
        <v>4886.12456983341</v>
      </c>
      <c r="L121" s="4">
        <f t="shared" si="63"/>
        <v>6038.54427193929</v>
      </c>
      <c r="M121" s="4">
        <f t="shared" si="63"/>
        <v>6894.15460886631</v>
      </c>
      <c r="N121" s="4">
        <f t="shared" si="63"/>
        <v>7750.69695987444</v>
      </c>
      <c r="O121" s="4">
        <f t="shared" si="63"/>
        <v>8661.47050672669</v>
      </c>
      <c r="P121" s="4">
        <f t="shared" si="63"/>
        <v>9517.85838728338</v>
      </c>
      <c r="Q121" s="4">
        <f t="shared" si="63"/>
        <v>9445.69992728178</v>
      </c>
      <c r="R121" s="4">
        <f t="shared" si="63"/>
        <v>10276.4413445849</v>
      </c>
      <c r="S121" s="4">
        <f t="shared" si="63"/>
        <v>10124.7723082744</v>
      </c>
      <c r="T121" s="4">
        <f t="shared" si="63"/>
        <v>10627.1465067766</v>
      </c>
      <c r="U121" s="4">
        <f t="shared" si="44"/>
        <v>11504.9049203156</v>
      </c>
      <c r="V121" s="4">
        <f t="shared" si="45"/>
        <v>12100.9557128637</v>
      </c>
      <c r="W121" s="4">
        <f t="shared" si="45"/>
        <v>13004.0121093461</v>
      </c>
      <c r="X121" s="4">
        <f t="shared" si="46"/>
        <v>13617.1678866041</v>
      </c>
      <c r="Y121" s="4">
        <f t="shared" si="47"/>
        <v>13168.6982855483</v>
      </c>
    </row>
    <row r="122" spans="1:25">
      <c r="A122" s="4" t="s">
        <v>20</v>
      </c>
      <c r="B122" s="4">
        <f t="shared" ref="B122:T122" si="64">B21/B89</f>
        <v>3093.82</v>
      </c>
      <c r="C122" s="4">
        <f t="shared" si="64"/>
        <v>3440.63872255489</v>
      </c>
      <c r="D122" s="4">
        <f t="shared" si="64"/>
        <v>4027.78194864033</v>
      </c>
      <c r="E122" s="4">
        <f t="shared" si="64"/>
        <v>4884.10127280804</v>
      </c>
      <c r="F122" s="4">
        <f t="shared" si="64"/>
        <v>5484.47284073748</v>
      </c>
      <c r="G122" s="4">
        <f t="shared" si="64"/>
        <v>6721.26753984566</v>
      </c>
      <c r="H122" s="4">
        <f t="shared" si="64"/>
        <v>7638.60887878952</v>
      </c>
      <c r="I122" s="4">
        <f t="shared" si="64"/>
        <v>8754.98922628968</v>
      </c>
      <c r="J122" s="4">
        <f t="shared" si="64"/>
        <v>9281.25158641997</v>
      </c>
      <c r="K122" s="4">
        <f t="shared" si="64"/>
        <v>11734.65995224</v>
      </c>
      <c r="L122" s="4">
        <f t="shared" si="64"/>
        <v>13415.5785944075</v>
      </c>
      <c r="M122" s="4">
        <f t="shared" si="64"/>
        <v>14962.7229664611</v>
      </c>
      <c r="N122" s="4">
        <f t="shared" si="64"/>
        <v>16714.7248787094</v>
      </c>
      <c r="O122" s="4">
        <f t="shared" si="64"/>
        <v>18701.3110322038</v>
      </c>
      <c r="P122" s="4">
        <f t="shared" si="64"/>
        <v>20586.8058412369</v>
      </c>
      <c r="Q122" s="4">
        <f t="shared" si="64"/>
        <v>21777.2304458714</v>
      </c>
      <c r="R122" s="4">
        <f t="shared" si="64"/>
        <v>24702.9068459951</v>
      </c>
      <c r="S122" s="4">
        <f t="shared" si="64"/>
        <v>27062.5469466317</v>
      </c>
      <c r="T122" s="4">
        <f t="shared" si="64"/>
        <v>28209.2650375907</v>
      </c>
      <c r="U122" s="4">
        <f t="shared" si="44"/>
        <v>30077.2489988131</v>
      </c>
      <c r="V122" s="4">
        <f t="shared" si="45"/>
        <v>31425.741643984</v>
      </c>
      <c r="W122" s="4">
        <f t="shared" si="45"/>
        <v>33140.4398487649</v>
      </c>
      <c r="X122" s="4">
        <f t="shared" si="46"/>
        <v>31583.9416953983</v>
      </c>
      <c r="Y122" s="4">
        <f t="shared" si="47"/>
        <v>32244.5619898239</v>
      </c>
    </row>
    <row r="123" spans="1:25">
      <c r="A123" s="4" t="s">
        <v>21</v>
      </c>
      <c r="B123" s="4">
        <f t="shared" ref="B123:T123" si="65">B22/B90</f>
        <v>670.65</v>
      </c>
      <c r="C123" s="4">
        <f t="shared" si="65"/>
        <v>721.137254901961</v>
      </c>
      <c r="D123" s="4">
        <f t="shared" si="65"/>
        <v>823.724903720212</v>
      </c>
      <c r="E123" s="4">
        <f t="shared" si="65"/>
        <v>951.256558150196</v>
      </c>
      <c r="F123" s="4">
        <f t="shared" si="65"/>
        <v>1190.16918653221</v>
      </c>
      <c r="G123" s="4">
        <f t="shared" si="65"/>
        <v>1584.11703159517</v>
      </c>
      <c r="H123" s="4">
        <f t="shared" si="65"/>
        <v>1915.85950275787</v>
      </c>
      <c r="I123" s="4">
        <f t="shared" si="65"/>
        <v>2441.38391501694</v>
      </c>
      <c r="J123" s="4">
        <f t="shared" si="65"/>
        <v>3049.32335589811</v>
      </c>
      <c r="K123" s="4">
        <f t="shared" si="65"/>
        <v>4580.36321215673</v>
      </c>
      <c r="L123" s="4">
        <f t="shared" si="65"/>
        <v>6257.06230230037</v>
      </c>
      <c r="M123" s="4">
        <f t="shared" si="65"/>
        <v>7375.19288909096</v>
      </c>
      <c r="N123" s="4">
        <f t="shared" si="65"/>
        <v>7934.2308179336</v>
      </c>
      <c r="O123" s="4">
        <f t="shared" si="65"/>
        <v>7308.79170861874</v>
      </c>
      <c r="P123" s="4">
        <f t="shared" si="65"/>
        <v>7739.14205240262</v>
      </c>
      <c r="Q123" s="4">
        <f t="shared" si="65"/>
        <v>8433.23971358284</v>
      </c>
      <c r="R123" s="4">
        <f t="shared" si="65"/>
        <v>9114.72106081537</v>
      </c>
      <c r="S123" s="4">
        <f t="shared" si="65"/>
        <v>6511.17260806239</v>
      </c>
      <c r="T123" s="4">
        <f t="shared" si="65"/>
        <v>6903.71220070155</v>
      </c>
      <c r="U123" s="4">
        <f t="shared" si="44"/>
        <v>7389.12946481338</v>
      </c>
      <c r="V123" s="4">
        <f t="shared" si="45"/>
        <v>7489.7596326221</v>
      </c>
      <c r="W123" s="4">
        <f t="shared" si="45"/>
        <v>7987.09748731557</v>
      </c>
      <c r="X123" s="4">
        <f t="shared" si="46"/>
        <v>7846.01038744151</v>
      </c>
      <c r="Y123" s="4">
        <f t="shared" si="47"/>
        <v>6643.16510760327</v>
      </c>
    </row>
    <row r="124" spans="1:25">
      <c r="A124" s="4" t="s">
        <v>22</v>
      </c>
      <c r="B124" s="4">
        <f t="shared" ref="B124:T124" si="66">B23/B91</f>
        <v>198</v>
      </c>
      <c r="C124" s="4">
        <f t="shared" si="66"/>
        <v>207.557328015952</v>
      </c>
      <c r="D124" s="4">
        <f t="shared" si="66"/>
        <v>230.977129710664</v>
      </c>
      <c r="E124" s="4">
        <f t="shared" si="66"/>
        <v>261.248729852061</v>
      </c>
      <c r="F124" s="4">
        <f t="shared" si="66"/>
        <v>289.783844210143</v>
      </c>
      <c r="G124" s="4">
        <f t="shared" si="66"/>
        <v>345.752961594591</v>
      </c>
      <c r="H124" s="4">
        <f t="shared" si="66"/>
        <v>406.0687177957</v>
      </c>
      <c r="I124" s="4">
        <f t="shared" si="66"/>
        <v>474.52246406989</v>
      </c>
      <c r="J124" s="4">
        <f t="shared" si="66"/>
        <v>585.272103842716</v>
      </c>
      <c r="K124" s="4">
        <f t="shared" si="66"/>
        <v>676.665257207391</v>
      </c>
      <c r="L124" s="4">
        <f t="shared" si="66"/>
        <v>870.027287390204</v>
      </c>
      <c r="M124" s="4">
        <f t="shared" si="66"/>
        <v>1012.59899629419</v>
      </c>
      <c r="N124" s="4">
        <f t="shared" si="66"/>
        <v>1324.05080375789</v>
      </c>
      <c r="O124" s="4">
        <f t="shared" si="66"/>
        <v>1528.88074394288</v>
      </c>
      <c r="P124" s="4">
        <f t="shared" si="66"/>
        <v>1734.69652251879</v>
      </c>
      <c r="Q124" s="4">
        <f t="shared" si="66"/>
        <v>1591.68248989762</v>
      </c>
      <c r="R124" s="4">
        <f t="shared" si="66"/>
        <v>1722.72319486592</v>
      </c>
      <c r="S124" s="4">
        <f t="shared" si="66"/>
        <v>1845.03805026093</v>
      </c>
      <c r="T124" s="4">
        <f t="shared" si="66"/>
        <v>1520.15846890613</v>
      </c>
      <c r="U124" s="4">
        <f t="shared" si="44"/>
        <v>1336.20899299784</v>
      </c>
      <c r="V124" s="4">
        <f t="shared" si="45"/>
        <v>1410.66052046693</v>
      </c>
      <c r="W124" s="4">
        <f t="shared" si="45"/>
        <v>1549.89819895768</v>
      </c>
      <c r="X124" s="4">
        <f t="shared" si="46"/>
        <v>1461.419758466</v>
      </c>
      <c r="Y124" s="4">
        <f t="shared" si="47"/>
        <v>1473.07614736702</v>
      </c>
    </row>
    <row r="125" spans="1:25">
      <c r="A125" s="4" t="s">
        <v>23</v>
      </c>
      <c r="B125" s="4">
        <f t="shared" ref="B125:T125" si="67">B24/B92</f>
        <v>628.01</v>
      </c>
      <c r="C125" s="4">
        <f t="shared" si="67"/>
        <v>745.694444444444</v>
      </c>
      <c r="D125" s="4">
        <f t="shared" si="67"/>
        <v>905.289954445863</v>
      </c>
      <c r="E125" s="4">
        <f t="shared" si="67"/>
        <v>1168.60566743457</v>
      </c>
      <c r="F125" s="4">
        <f t="shared" si="67"/>
        <v>1380.63655707103</v>
      </c>
      <c r="G125" s="4">
        <f t="shared" si="67"/>
        <v>1658.62241248917</v>
      </c>
      <c r="H125" s="4">
        <f t="shared" si="67"/>
        <v>1872.16294479862</v>
      </c>
      <c r="I125" s="4">
        <f t="shared" si="67"/>
        <v>2122.85157688227</v>
      </c>
      <c r="J125" s="4">
        <f t="shared" si="67"/>
        <v>2304.44888814025</v>
      </c>
      <c r="K125" s="4">
        <f t="shared" si="67"/>
        <v>2797.78351675409</v>
      </c>
      <c r="L125" s="4">
        <f t="shared" si="67"/>
        <v>3302.91501448119</v>
      </c>
      <c r="M125" s="4">
        <f t="shared" si="67"/>
        <v>3925.09373523007</v>
      </c>
      <c r="N125" s="4">
        <f t="shared" si="67"/>
        <v>4226.41899980983</v>
      </c>
      <c r="O125" s="4">
        <f t="shared" si="67"/>
        <v>4626.99283331338</v>
      </c>
      <c r="P125" s="4">
        <f t="shared" si="67"/>
        <v>5122.68452265545</v>
      </c>
      <c r="Q125" s="4">
        <f t="shared" si="67"/>
        <v>5684.17104208913</v>
      </c>
      <c r="R125" s="4">
        <f t="shared" si="67"/>
        <v>6513.72753726261</v>
      </c>
      <c r="S125" s="4">
        <f t="shared" si="67"/>
        <v>6723.66359224684</v>
      </c>
      <c r="T125" s="4">
        <f t="shared" si="67"/>
        <v>6851.7333749563</v>
      </c>
      <c r="U125" s="4">
        <f t="shared" si="44"/>
        <v>6890.88613709891</v>
      </c>
      <c r="V125" s="4">
        <f t="shared" si="45"/>
        <v>6998.66148235168</v>
      </c>
      <c r="W125" s="4">
        <f t="shared" si="45"/>
        <v>7403.36972360435</v>
      </c>
      <c r="X125" s="4">
        <f t="shared" si="46"/>
        <v>7301.85436990164</v>
      </c>
      <c r="Y125" s="4">
        <f t="shared" si="47"/>
        <v>7638.75035888408</v>
      </c>
    </row>
    <row r="126" spans="1:25">
      <c r="A126" s="4" t="s">
        <v>24</v>
      </c>
      <c r="B126" s="4">
        <f t="shared" ref="B126:T126" si="68">B25/B93</f>
        <v>1400.69</v>
      </c>
      <c r="C126" s="4">
        <f t="shared" si="68"/>
        <v>1547.67487684729</v>
      </c>
      <c r="D126" s="4">
        <f t="shared" si="68"/>
        <v>1765.61527338676</v>
      </c>
      <c r="E126" s="4">
        <f t="shared" si="68"/>
        <v>2057.58824091682</v>
      </c>
      <c r="F126" s="4">
        <f t="shared" si="68"/>
        <v>2323.62306188307</v>
      </c>
      <c r="G126" s="4">
        <f t="shared" si="68"/>
        <v>2748.82058307425</v>
      </c>
      <c r="H126" s="4">
        <f t="shared" si="68"/>
        <v>3393.90291799624</v>
      </c>
      <c r="I126" s="4">
        <f t="shared" si="68"/>
        <v>4060.38841596549</v>
      </c>
      <c r="J126" s="4">
        <f t="shared" si="68"/>
        <v>4530.90447250901</v>
      </c>
      <c r="K126" s="4">
        <f t="shared" si="68"/>
        <v>5415.58492747548</v>
      </c>
      <c r="L126" s="4">
        <f t="shared" si="68"/>
        <v>6307.64319153088</v>
      </c>
      <c r="M126" s="4">
        <f t="shared" si="68"/>
        <v>7193.71145761992</v>
      </c>
      <c r="N126" s="4">
        <f t="shared" si="68"/>
        <v>8058.42342002905</v>
      </c>
      <c r="O126" s="4">
        <f t="shared" si="68"/>
        <v>8680.23727363606</v>
      </c>
      <c r="P126" s="4">
        <f t="shared" si="68"/>
        <v>9237.11047099589</v>
      </c>
      <c r="Q126" s="4">
        <f t="shared" si="68"/>
        <v>9721.7096035411</v>
      </c>
      <c r="R126" s="4">
        <f t="shared" si="68"/>
        <v>10677.2115446056</v>
      </c>
      <c r="S126" s="4">
        <f t="shared" si="68"/>
        <v>11099.0048890761</v>
      </c>
      <c r="T126" s="4">
        <f t="shared" si="68"/>
        <v>11495.3979208288</v>
      </c>
      <c r="U126" s="4">
        <f t="shared" si="44"/>
        <v>12287.4036830906</v>
      </c>
      <c r="V126" s="4">
        <f t="shared" si="45"/>
        <v>12239.7780874197</v>
      </c>
      <c r="W126" s="4">
        <f t="shared" si="45"/>
        <v>12923.1555279935</v>
      </c>
      <c r="X126" s="4">
        <f t="shared" si="46"/>
        <v>13429.945940856</v>
      </c>
      <c r="Y126" s="4">
        <f t="shared" si="47"/>
        <v>13752.2646434365</v>
      </c>
    </row>
    <row r="127" spans="1:25">
      <c r="A127" s="4" t="s">
        <v>25</v>
      </c>
      <c r="B127" s="4">
        <f t="shared" ref="B127:T127" si="69">B26/B94</f>
        <v>456.26</v>
      </c>
      <c r="C127" s="4">
        <f t="shared" si="69"/>
        <v>573.59561752988</v>
      </c>
      <c r="D127" s="4">
        <f t="shared" si="69"/>
        <v>659.925169581156</v>
      </c>
      <c r="E127" s="4">
        <f t="shared" si="69"/>
        <v>746.988146049425</v>
      </c>
      <c r="F127" s="4">
        <f t="shared" si="69"/>
        <v>807.225553671927</v>
      </c>
      <c r="G127" s="4">
        <f t="shared" si="69"/>
        <v>910.432604419396</v>
      </c>
      <c r="H127" s="4">
        <f t="shared" si="69"/>
        <v>1042.593985486</v>
      </c>
      <c r="I127" s="4">
        <f t="shared" si="69"/>
        <v>1190.2759093051</v>
      </c>
      <c r="J127" s="4">
        <f t="shared" si="69"/>
        <v>1356.32019148668</v>
      </c>
      <c r="K127" s="4">
        <f t="shared" si="69"/>
        <v>1632.7058068814</v>
      </c>
      <c r="L127" s="4">
        <f t="shared" si="69"/>
        <v>1949.82122894898</v>
      </c>
      <c r="M127" s="4">
        <f t="shared" si="69"/>
        <v>2319.38693728816</v>
      </c>
      <c r="N127" s="4">
        <f t="shared" si="69"/>
        <v>2952.90095817184</v>
      </c>
      <c r="O127" s="4">
        <f t="shared" si="69"/>
        <v>3699.70192581418</v>
      </c>
      <c r="P127" s="4">
        <f t="shared" si="69"/>
        <v>4219.60135937797</v>
      </c>
      <c r="Q127" s="4">
        <f t="shared" si="69"/>
        <v>5000.68476177047</v>
      </c>
      <c r="R127" s="4">
        <f t="shared" si="69"/>
        <v>5850.45960097831</v>
      </c>
      <c r="S127" s="4">
        <f t="shared" si="69"/>
        <v>6281.75330263816</v>
      </c>
      <c r="T127" s="4">
        <f t="shared" si="69"/>
        <v>6914.70563161121</v>
      </c>
      <c r="U127" s="4">
        <f t="shared" si="44"/>
        <v>6820.07622902806</v>
      </c>
      <c r="V127" s="4">
        <f t="shared" si="45"/>
        <v>6859.9597157475</v>
      </c>
      <c r="W127" s="4">
        <f t="shared" si="45"/>
        <v>6640.66030425508</v>
      </c>
      <c r="X127" s="4">
        <f t="shared" si="46"/>
        <v>6202.74274482094</v>
      </c>
      <c r="Y127" s="4">
        <f t="shared" si="47"/>
        <v>5866.78676867217</v>
      </c>
    </row>
    <row r="128" spans="1:25">
      <c r="A128" s="4" t="s">
        <v>26</v>
      </c>
      <c r="B128" s="4">
        <f t="shared" ref="B128:T128" si="70">B27/B95</f>
        <v>722.27</v>
      </c>
      <c r="C128" s="4">
        <f t="shared" si="70"/>
        <v>762.574257425743</v>
      </c>
      <c r="D128" s="4">
        <f t="shared" si="70"/>
        <v>852.148514851485</v>
      </c>
      <c r="E128" s="4">
        <f t="shared" si="70"/>
        <v>1035.157233923</v>
      </c>
      <c r="F128" s="4">
        <f t="shared" si="70"/>
        <v>1213.47588118238</v>
      </c>
      <c r="G128" s="4">
        <f t="shared" si="70"/>
        <v>1341.44509331065</v>
      </c>
      <c r="H128" s="4">
        <f t="shared" si="70"/>
        <v>1512.87075016537</v>
      </c>
      <c r="I128" s="4">
        <f t="shared" si="70"/>
        <v>1668.31518791885</v>
      </c>
      <c r="J128" s="4">
        <f t="shared" si="70"/>
        <v>1732.96544208366</v>
      </c>
      <c r="K128" s="4">
        <f t="shared" si="70"/>
        <v>2687.52014864859</v>
      </c>
      <c r="L128" s="4">
        <f t="shared" si="70"/>
        <v>3894.97748437098</v>
      </c>
      <c r="M128" s="4">
        <f t="shared" si="70"/>
        <v>4770.22481009643</v>
      </c>
      <c r="N128" s="4">
        <f t="shared" si="70"/>
        <v>5599.94525749218</v>
      </c>
      <c r="O128" s="4">
        <f t="shared" si="70"/>
        <v>6487.75821385323</v>
      </c>
      <c r="P128" s="4">
        <f t="shared" si="70"/>
        <v>7532.63626042508</v>
      </c>
      <c r="Q128" s="4">
        <f t="shared" si="70"/>
        <v>8409.45337695561</v>
      </c>
      <c r="R128" s="4">
        <f t="shared" si="70"/>
        <v>9264.1211706204</v>
      </c>
      <c r="S128" s="4">
        <f t="shared" si="70"/>
        <v>9828.70805578752</v>
      </c>
      <c r="T128" s="4">
        <f t="shared" si="70"/>
        <v>10456.4711060618</v>
      </c>
      <c r="U128" s="4">
        <f t="shared" si="44"/>
        <v>11090.1966276413</v>
      </c>
      <c r="V128" s="4">
        <f t="shared" si="45"/>
        <v>11529.0943706272</v>
      </c>
      <c r="W128" s="4">
        <f t="shared" si="45"/>
        <v>11966.3254944633</v>
      </c>
      <c r="X128" s="4">
        <f t="shared" si="46"/>
        <v>12661.2203804607</v>
      </c>
      <c r="Y128" s="4">
        <f t="shared" si="47"/>
        <v>11285.2751945482</v>
      </c>
    </row>
    <row r="129" spans="1:25">
      <c r="A129" s="4" t="s">
        <v>27</v>
      </c>
      <c r="B129" s="4">
        <f t="shared" ref="B129:T129" si="71">B28/B96</f>
        <v>796.2</v>
      </c>
      <c r="C129" s="4">
        <f t="shared" si="71"/>
        <v>856.370656370656</v>
      </c>
      <c r="D129" s="4">
        <f t="shared" si="71"/>
        <v>962.317359376183</v>
      </c>
      <c r="E129" s="4">
        <f t="shared" si="71"/>
        <v>1146.29018845573</v>
      </c>
      <c r="F129" s="4">
        <f t="shared" si="71"/>
        <v>1310.10775138011</v>
      </c>
      <c r="G129" s="4">
        <f t="shared" si="71"/>
        <v>1662.76303404061</v>
      </c>
      <c r="H129" s="4">
        <f t="shared" si="71"/>
        <v>2033.86584380794</v>
      </c>
      <c r="I129" s="4">
        <f t="shared" si="71"/>
        <v>2646.7958847619</v>
      </c>
      <c r="J129" s="4">
        <f t="shared" si="71"/>
        <v>3233.97903845615</v>
      </c>
      <c r="K129" s="4">
        <f t="shared" si="71"/>
        <v>3900.44083348348</v>
      </c>
      <c r="L129" s="4">
        <f t="shared" si="71"/>
        <v>4894.49414786375</v>
      </c>
      <c r="M129" s="4">
        <f t="shared" si="71"/>
        <v>5524.82169820575</v>
      </c>
      <c r="N129" s="4">
        <f t="shared" si="71"/>
        <v>6377.55240560251</v>
      </c>
      <c r="O129" s="4">
        <f t="shared" si="71"/>
        <v>6948.223225346</v>
      </c>
      <c r="P129" s="4">
        <f t="shared" si="71"/>
        <v>7512.91343158147</v>
      </c>
      <c r="Q129" s="4">
        <f t="shared" si="71"/>
        <v>7526.11955382155</v>
      </c>
      <c r="R129" s="4">
        <f t="shared" si="71"/>
        <v>8129.24433629323</v>
      </c>
      <c r="S129" s="4">
        <f t="shared" si="71"/>
        <v>8676.59850675874</v>
      </c>
      <c r="T129" s="4">
        <f t="shared" si="71"/>
        <v>9088.20185148164</v>
      </c>
      <c r="U129" s="4">
        <f t="shared" si="44"/>
        <v>9079.34395494023</v>
      </c>
      <c r="V129" s="4">
        <f t="shared" si="45"/>
        <v>9221.07029960271</v>
      </c>
      <c r="W129" s="4">
        <f t="shared" si="45"/>
        <v>8812.25437498981</v>
      </c>
      <c r="X129" s="4">
        <f t="shared" si="46"/>
        <v>9330.11457332412</v>
      </c>
      <c r="Y129" s="4">
        <f t="shared" si="47"/>
        <v>9339.43536710365</v>
      </c>
    </row>
    <row r="130" spans="1:25">
      <c r="A130" s="4" t="s">
        <v>28</v>
      </c>
      <c r="B130" s="4">
        <f t="shared" ref="B130:T130" si="72">B29/B97</f>
        <v>373.9</v>
      </c>
      <c r="C130" s="4">
        <f t="shared" si="72"/>
        <v>454.049019607843</v>
      </c>
      <c r="D130" s="4">
        <f t="shared" si="72"/>
        <v>523.218269343666</v>
      </c>
      <c r="E130" s="4">
        <f t="shared" si="72"/>
        <v>594.199804836314</v>
      </c>
      <c r="F130" s="4">
        <f t="shared" si="72"/>
        <v>689.432859531183</v>
      </c>
      <c r="G130" s="4">
        <f t="shared" si="72"/>
        <v>780.32863562459</v>
      </c>
      <c r="H130" s="4">
        <f t="shared" si="72"/>
        <v>880.962112551822</v>
      </c>
      <c r="I130" s="4">
        <f t="shared" si="72"/>
        <v>1018.87508880141</v>
      </c>
      <c r="J130" s="4">
        <f t="shared" si="72"/>
        <v>1167.067668594</v>
      </c>
      <c r="K130" s="4">
        <f t="shared" si="72"/>
        <v>1376.84034378324</v>
      </c>
      <c r="L130" s="4">
        <f t="shared" si="72"/>
        <v>1620.052480765</v>
      </c>
      <c r="M130" s="4">
        <f t="shared" si="72"/>
        <v>1908.15505623099</v>
      </c>
      <c r="N130" s="4">
        <f t="shared" si="72"/>
        <v>2177.11748085304</v>
      </c>
      <c r="O130" s="4">
        <f t="shared" si="72"/>
        <v>2529.16714570311</v>
      </c>
      <c r="P130" s="4">
        <f t="shared" si="72"/>
        <v>2850.3898180279</v>
      </c>
      <c r="Q130" s="4">
        <f t="shared" si="72"/>
        <v>3126.93937338647</v>
      </c>
      <c r="R130" s="4">
        <f t="shared" si="72"/>
        <v>3514.04203390085</v>
      </c>
      <c r="S130" s="4">
        <f t="shared" si="72"/>
        <v>2411.77307854823</v>
      </c>
      <c r="T130" s="4">
        <f t="shared" si="72"/>
        <v>2215.78769453619</v>
      </c>
      <c r="U130" s="4">
        <f t="shared" si="44"/>
        <v>2302.17317970329</v>
      </c>
      <c r="V130" s="4">
        <f t="shared" si="45"/>
        <v>2433.0810663923</v>
      </c>
      <c r="W130" s="4">
        <f t="shared" si="45"/>
        <v>2679.04168955585</v>
      </c>
      <c r="X130" s="4">
        <f t="shared" si="46"/>
        <v>2894.62698743963</v>
      </c>
      <c r="Y130" s="4">
        <f t="shared" si="47"/>
        <v>3050.15918377967</v>
      </c>
    </row>
    <row r="131" spans="1:25">
      <c r="A131" s="4" t="s">
        <v>29</v>
      </c>
      <c r="B131" s="4">
        <f t="shared" ref="B131:T131" si="73">B30/B98</f>
        <v>156.97</v>
      </c>
      <c r="C131" s="4">
        <f t="shared" si="73"/>
        <v>201.565304087737</v>
      </c>
      <c r="D131" s="4">
        <f t="shared" si="73"/>
        <v>235.7269277439</v>
      </c>
      <c r="E131" s="4">
        <f t="shared" si="73"/>
        <v>267.267054286297</v>
      </c>
      <c r="F131" s="4">
        <f t="shared" si="73"/>
        <v>290.161719657319</v>
      </c>
      <c r="G131" s="4">
        <f t="shared" si="73"/>
        <v>328.546741067491</v>
      </c>
      <c r="H131" s="4">
        <f t="shared" si="73"/>
        <v>362.794047997115</v>
      </c>
      <c r="I131" s="4">
        <f t="shared" si="73"/>
        <v>406.314933312099</v>
      </c>
      <c r="J131" s="4">
        <f t="shared" si="73"/>
        <v>446.362707140495</v>
      </c>
      <c r="K131" s="4">
        <f t="shared" si="73"/>
        <v>600.612987083742</v>
      </c>
      <c r="L131" s="4">
        <f t="shared" si="73"/>
        <v>773.054412881856</v>
      </c>
      <c r="M131" s="4">
        <f t="shared" si="73"/>
        <v>939.985438053612</v>
      </c>
      <c r="N131" s="4">
        <f t="shared" si="73"/>
        <v>1272.77306006897</v>
      </c>
      <c r="O131" s="4">
        <f t="shared" si="73"/>
        <v>1599.63209866093</v>
      </c>
      <c r="P131" s="4">
        <f t="shared" si="73"/>
        <v>1936.26177481316</v>
      </c>
      <c r="Q131" s="4">
        <f t="shared" si="73"/>
        <v>2205.47144915617</v>
      </c>
      <c r="R131" s="4">
        <f t="shared" si="73"/>
        <v>2380.75146206974</v>
      </c>
      <c r="S131" s="4">
        <f t="shared" si="73"/>
        <v>2475.36965822632</v>
      </c>
      <c r="T131" s="4">
        <f t="shared" si="73"/>
        <v>2546.56916900943</v>
      </c>
      <c r="U131" s="4">
        <f t="shared" si="44"/>
        <v>2608.680612156</v>
      </c>
      <c r="V131" s="4">
        <f t="shared" si="45"/>
        <v>2232.37970513935</v>
      </c>
      <c r="W131" s="4">
        <f t="shared" si="45"/>
        <v>2139.82299475845</v>
      </c>
      <c r="X131" s="4">
        <f t="shared" si="46"/>
        <v>1930.85590542657</v>
      </c>
      <c r="Y131" s="4">
        <f t="shared" si="47"/>
        <v>1777.1559328553</v>
      </c>
    </row>
    <row r="132" spans="1:25">
      <c r="A132" s="4" t="s">
        <v>30</v>
      </c>
      <c r="B132" s="4">
        <f t="shared" ref="B132:T132" si="74">B31/B99</f>
        <v>160.82</v>
      </c>
      <c r="C132" s="4">
        <f t="shared" si="74"/>
        <v>192.916256157636</v>
      </c>
      <c r="D132" s="4">
        <f t="shared" si="74"/>
        <v>225.837854232197</v>
      </c>
      <c r="E132" s="4">
        <f t="shared" si="74"/>
        <v>304.328536182754</v>
      </c>
      <c r="F132" s="4">
        <f t="shared" si="74"/>
        <v>346.191848352254</v>
      </c>
      <c r="G132" s="4">
        <f t="shared" si="74"/>
        <v>419.347644022008</v>
      </c>
      <c r="H132" s="4">
        <f t="shared" si="74"/>
        <v>506.496258108844</v>
      </c>
      <c r="I132" s="4">
        <f t="shared" si="74"/>
        <v>557.08219102672</v>
      </c>
      <c r="J132" s="4">
        <f t="shared" si="74"/>
        <v>703.897152741675</v>
      </c>
      <c r="K132" s="4">
        <f t="shared" si="74"/>
        <v>927.023759330595</v>
      </c>
      <c r="L132" s="4">
        <f t="shared" si="74"/>
        <v>1118.2815286885</v>
      </c>
      <c r="M132" s="4">
        <f t="shared" si="74"/>
        <v>1154.22598540966</v>
      </c>
      <c r="N132" s="4">
        <f t="shared" si="74"/>
        <v>1353.15060474256</v>
      </c>
      <c r="O132" s="4">
        <f t="shared" si="74"/>
        <v>1532.17033571541</v>
      </c>
      <c r="P132" s="4">
        <f t="shared" si="74"/>
        <v>2042.90395547303</v>
      </c>
      <c r="Q132" s="4">
        <f t="shared" si="74"/>
        <v>2466.3881589199</v>
      </c>
      <c r="R132" s="4">
        <f t="shared" si="74"/>
        <v>2645.44420752006</v>
      </c>
      <c r="S132" s="4">
        <f t="shared" si="74"/>
        <v>2550.30594795251</v>
      </c>
      <c r="T132" s="4">
        <f t="shared" si="74"/>
        <v>2015.60412118372</v>
      </c>
      <c r="U132" s="4">
        <f t="shared" si="44"/>
        <v>1772.54597715863</v>
      </c>
      <c r="V132" s="4">
        <f t="shared" si="45"/>
        <v>1816.20474506894</v>
      </c>
      <c r="W132" s="4">
        <f t="shared" si="45"/>
        <v>1830.53377658822</v>
      </c>
      <c r="X132" s="4">
        <f t="shared" si="46"/>
        <v>1971.894644966</v>
      </c>
      <c r="Y132" s="4">
        <f t="shared" si="47"/>
        <v>2072.0606080071</v>
      </c>
    </row>
    <row r="133" spans="1:25">
      <c r="A133" s="4" t="s">
        <v>31</v>
      </c>
      <c r="B133" s="4">
        <f t="shared" ref="B133:T133" si="75">B32/B100</f>
        <v>648.12</v>
      </c>
      <c r="C133" s="4">
        <f t="shared" si="75"/>
        <v>702.556097560976</v>
      </c>
      <c r="D133" s="4">
        <f t="shared" si="75"/>
        <v>834.136604839102</v>
      </c>
      <c r="E133" s="4">
        <f t="shared" si="75"/>
        <v>1016.26251671776</v>
      </c>
      <c r="F133" s="4">
        <f t="shared" si="75"/>
        <v>1116.90983454036</v>
      </c>
      <c r="G133" s="4">
        <f t="shared" si="75"/>
        <v>1213.43942129393</v>
      </c>
      <c r="H133" s="4">
        <f t="shared" si="75"/>
        <v>1369.00172870936</v>
      </c>
      <c r="I133" s="4">
        <f t="shared" si="75"/>
        <v>1548.79422481294</v>
      </c>
      <c r="J133" s="4">
        <f t="shared" si="75"/>
        <v>1688.58339746548</v>
      </c>
      <c r="K133" s="4">
        <f t="shared" si="75"/>
        <v>1864.50036874501</v>
      </c>
      <c r="L133" s="4">
        <f t="shared" si="75"/>
        <v>2330.07677938096</v>
      </c>
      <c r="M133" s="4">
        <f t="shared" si="75"/>
        <v>2657.34470064172</v>
      </c>
      <c r="N133" s="4">
        <f t="shared" si="75"/>
        <v>3664.10730291213</v>
      </c>
      <c r="O133" s="4">
        <f t="shared" si="75"/>
        <v>4621.71556289234</v>
      </c>
      <c r="P133" s="4">
        <f t="shared" si="75"/>
        <v>5508.87592665216</v>
      </c>
      <c r="Q133" s="4">
        <f t="shared" si="75"/>
        <v>5910.82944204102</v>
      </c>
      <c r="R133" s="4">
        <f t="shared" si="75"/>
        <v>5848.77170993689</v>
      </c>
      <c r="S133" s="4">
        <f t="shared" si="75"/>
        <v>6982.99394880697</v>
      </c>
      <c r="T133" s="4">
        <f t="shared" si="75"/>
        <v>5036.91366799191</v>
      </c>
      <c r="U133" s="4">
        <f t="shared" si="44"/>
        <v>5022.21450359116</v>
      </c>
      <c r="V133" s="4">
        <f t="shared" si="45"/>
        <v>5749.56970755953</v>
      </c>
      <c r="W133" s="4">
        <f>W32/W100</f>
        <v>6533.60194040856</v>
      </c>
      <c r="X133" s="4">
        <f t="shared" si="46"/>
        <v>6905.85038102124</v>
      </c>
      <c r="Y133" s="4">
        <f t="shared" si="47"/>
        <v>7762.17582826786</v>
      </c>
    </row>
    <row r="135" spans="1:9">
      <c r="A135" s="4" t="s">
        <v>38</v>
      </c>
      <c r="B135" s="4"/>
      <c r="C135" s="6">
        <v>2001</v>
      </c>
      <c r="D135" s="6">
        <v>2002</v>
      </c>
      <c r="E135" s="6">
        <v>2003</v>
      </c>
      <c r="F135" s="6">
        <v>2004</v>
      </c>
      <c r="G135" s="6">
        <v>2005</v>
      </c>
      <c r="I135" t="s">
        <v>39</v>
      </c>
    </row>
    <row r="136" spans="1:9">
      <c r="A136" s="4" t="s">
        <v>2</v>
      </c>
      <c r="C136" s="6">
        <f>(C104-B104)/B104</f>
        <v>0.137211124410099</v>
      </c>
      <c r="D136" s="6">
        <f t="shared" ref="D136:G136" si="76">(D104-C104)/C104</f>
        <v>0.213502356751539</v>
      </c>
      <c r="E136" s="6">
        <f t="shared" si="76"/>
        <v>0.22210441941528</v>
      </c>
      <c r="F136" s="6">
        <f t="shared" si="76"/>
        <v>0.11860624986068</v>
      </c>
      <c r="G136" s="6">
        <f t="shared" si="76"/>
        <v>0.11886389443268</v>
      </c>
      <c r="I136" s="6">
        <f>AVERAGE(C136:G136)</f>
        <v>0.162057608974056</v>
      </c>
    </row>
    <row r="137" spans="1:9">
      <c r="A137" s="4" t="s">
        <v>3</v>
      </c>
      <c r="C137" s="6">
        <f t="shared" ref="C137:G137" si="77">(C105-B105)/B105</f>
        <v>0.162082131879742</v>
      </c>
      <c r="D137" s="6">
        <f t="shared" si="77"/>
        <v>0.156414101700296</v>
      </c>
      <c r="E137" s="6">
        <f t="shared" si="77"/>
        <v>0.241702672720459</v>
      </c>
      <c r="F137" s="6">
        <f t="shared" si="77"/>
        <v>0.141918231584387</v>
      </c>
      <c r="G137" s="6">
        <f t="shared" si="77"/>
        <v>0.188238220490506</v>
      </c>
      <c r="I137" s="6">
        <f t="shared" ref="I137:I165" si="78">AVERAGE(C137:G137)</f>
        <v>0.178071071675078</v>
      </c>
    </row>
    <row r="138" spans="1:9">
      <c r="A138" s="4" t="s">
        <v>4</v>
      </c>
      <c r="C138" s="6">
        <f t="shared" ref="C138:G138" si="79">(C106-B106)/B106</f>
        <v>0.055928131306322</v>
      </c>
      <c r="D138" s="6">
        <f t="shared" si="79"/>
        <v>0.0620364091973527</v>
      </c>
      <c r="E138" s="6">
        <f t="shared" si="79"/>
        <v>0.193341454104383</v>
      </c>
      <c r="F138" s="6">
        <f t="shared" si="79"/>
        <v>0.219977163718344</v>
      </c>
      <c r="G138" s="6">
        <f t="shared" si="79"/>
        <v>0.295601994715289</v>
      </c>
      <c r="I138" s="6">
        <f t="shared" si="78"/>
        <v>0.165377030608338</v>
      </c>
    </row>
    <row r="139" spans="1:9">
      <c r="A139" s="4" t="s">
        <v>5</v>
      </c>
      <c r="C139" s="6">
        <f t="shared" ref="C139:G139" si="80">(C107-B107)/B107</f>
        <v>0.110979528071447</v>
      </c>
      <c r="D139" s="6">
        <f t="shared" si="80"/>
        <v>0.174075785272829</v>
      </c>
      <c r="E139" s="6">
        <f t="shared" si="80"/>
        <v>0.233976293510772</v>
      </c>
      <c r="F139" s="6">
        <f t="shared" si="80"/>
        <v>0.263356828326245</v>
      </c>
      <c r="G139" s="6">
        <f t="shared" si="80"/>
        <v>0.245100516115061</v>
      </c>
      <c r="I139" s="6">
        <f t="shared" si="78"/>
        <v>0.205497790259271</v>
      </c>
    </row>
    <row r="140" spans="1:9">
      <c r="A140" s="4" t="s">
        <v>6</v>
      </c>
      <c r="C140" s="6">
        <f t="shared" ref="C140:G140" si="81">(C108-B108)/B108</f>
        <v>0.151454695330714</v>
      </c>
      <c r="D140" s="6">
        <f t="shared" si="81"/>
        <v>0.415921953749824</v>
      </c>
      <c r="E140" s="6">
        <f t="shared" si="81"/>
        <v>0.641326765460571</v>
      </c>
      <c r="F140" s="6">
        <f t="shared" si="81"/>
        <v>0.409450302518545</v>
      </c>
      <c r="G140" s="6">
        <f t="shared" si="81"/>
        <v>0.424530466409138</v>
      </c>
      <c r="I140" s="6">
        <f t="shared" si="78"/>
        <v>0.408536836693758</v>
      </c>
    </row>
    <row r="141" spans="1:9">
      <c r="A141" s="4" t="s">
        <v>7</v>
      </c>
      <c r="C141" s="6">
        <f t="shared" ref="C141:G141" si="82">(C109-B109)/B109</f>
        <v>0.111657918837818</v>
      </c>
      <c r="D141" s="6">
        <f t="shared" si="82"/>
        <v>0.11916786765054</v>
      </c>
      <c r="E141" s="6">
        <f t="shared" si="82"/>
        <v>0.260063695527466</v>
      </c>
      <c r="F141" s="6">
        <f t="shared" si="82"/>
        <v>0.327797974471911</v>
      </c>
      <c r="G141" s="6">
        <f t="shared" si="82"/>
        <v>0.42324160000962</v>
      </c>
      <c r="I141" s="6">
        <f t="shared" si="78"/>
        <v>0.248385811299471</v>
      </c>
    </row>
    <row r="142" spans="1:9">
      <c r="A142" s="4" t="s">
        <v>8</v>
      </c>
      <c r="C142" s="6">
        <f t="shared" ref="C142:G142" si="83">(C110-B110)/B110</f>
        <v>0.102427098078778</v>
      </c>
      <c r="D142" s="6">
        <f t="shared" si="83"/>
        <v>0.16404899231095</v>
      </c>
      <c r="E142" s="6">
        <f t="shared" si="83"/>
        <v>0.197816496096926</v>
      </c>
      <c r="F142" s="6">
        <f t="shared" si="83"/>
        <v>0.243371050529147</v>
      </c>
      <c r="G142" s="6">
        <f t="shared" si="83"/>
        <v>0.367816631021976</v>
      </c>
      <c r="I142" s="6">
        <f t="shared" si="78"/>
        <v>0.215096053607555</v>
      </c>
    </row>
    <row r="143" spans="1:9">
      <c r="A143" s="4" t="s">
        <v>9</v>
      </c>
      <c r="C143" s="6">
        <f t="shared" ref="C143:G143" si="84">(C111-B111)/B111</f>
        <v>0.133731836247014</v>
      </c>
      <c r="D143" s="6">
        <f t="shared" si="84"/>
        <v>0.0991581986962262</v>
      </c>
      <c r="E143" s="6">
        <f t="shared" si="84"/>
        <v>0.06942694638799</v>
      </c>
      <c r="F143" s="6">
        <f t="shared" si="84"/>
        <v>0.145341352270711</v>
      </c>
      <c r="G143" s="6">
        <f t="shared" si="84"/>
        <v>0.153816356600064</v>
      </c>
      <c r="I143" s="6">
        <f t="shared" si="78"/>
        <v>0.120294938040401</v>
      </c>
    </row>
    <row r="144" spans="1:9">
      <c r="A144" s="4" t="s">
        <v>10</v>
      </c>
      <c r="C144" s="6">
        <f t="shared" ref="C144:G144" si="85">(C112-B112)/B112</f>
        <v>0.0788315912594639</v>
      </c>
      <c r="D144" s="6">
        <f t="shared" si="85"/>
        <v>0.12334960223924</v>
      </c>
      <c r="E144" s="6">
        <f t="shared" si="85"/>
        <v>0.0908765677169183</v>
      </c>
      <c r="F144" s="6">
        <f t="shared" si="85"/>
        <v>0.148532335106648</v>
      </c>
      <c r="G144" s="6">
        <f t="shared" si="85"/>
        <v>0.156387484396709</v>
      </c>
      <c r="I144" s="6">
        <f t="shared" si="78"/>
        <v>0.119595516143796</v>
      </c>
    </row>
    <row r="145" spans="1:9">
      <c r="A145" s="4" t="s">
        <v>11</v>
      </c>
      <c r="C145" s="6">
        <f t="shared" ref="C145:G145" si="86">(C113-B113)/B113</f>
        <v>0.0897928587717824</v>
      </c>
      <c r="D145" s="6">
        <f t="shared" si="86"/>
        <v>0.108463384900388</v>
      </c>
      <c r="E145" s="6">
        <f t="shared" si="86"/>
        <v>0.315608215474023</v>
      </c>
      <c r="F145" s="6">
        <f t="shared" si="86"/>
        <v>0.16288952332717</v>
      </c>
      <c r="G145" s="6">
        <f t="shared" si="86"/>
        <v>0.263440158544189</v>
      </c>
      <c r="I145" s="6">
        <f t="shared" si="78"/>
        <v>0.188038828203511</v>
      </c>
    </row>
    <row r="146" spans="1:9">
      <c r="A146" s="4" t="s">
        <v>12</v>
      </c>
      <c r="C146" s="6">
        <f t="shared" ref="C146:G146" si="87">(C114-B114)/B114</f>
        <v>0.162165030773167</v>
      </c>
      <c r="D146" s="6">
        <f t="shared" si="87"/>
        <v>0.224365057603041</v>
      </c>
      <c r="E146" s="6">
        <f t="shared" si="87"/>
        <v>0.329742004708703</v>
      </c>
      <c r="F146" s="6">
        <f t="shared" si="87"/>
        <v>0.172748642337837</v>
      </c>
      <c r="G146" s="6">
        <f t="shared" si="87"/>
        <v>0.123392310330572</v>
      </c>
      <c r="I146" s="6">
        <f t="shared" si="78"/>
        <v>0.202482609150664</v>
      </c>
    </row>
    <row r="147" spans="1:9">
      <c r="A147" s="4" t="s">
        <v>13</v>
      </c>
      <c r="C147" s="6">
        <f t="shared" ref="C147:G147" si="88">(C115-B115)/B115</f>
        <v>0.0962266428090197</v>
      </c>
      <c r="D147" s="6">
        <f t="shared" si="88"/>
        <v>0.112125755686373</v>
      </c>
      <c r="E147" s="6">
        <f t="shared" si="88"/>
        <v>0.156313426488302</v>
      </c>
      <c r="F147" s="6">
        <f t="shared" si="88"/>
        <v>0.299235525734384</v>
      </c>
      <c r="G147" s="6">
        <f t="shared" si="88"/>
        <v>0.167449456968064</v>
      </c>
      <c r="I147" s="6">
        <f t="shared" si="78"/>
        <v>0.166270161537229</v>
      </c>
    </row>
    <row r="148" spans="1:9">
      <c r="A148" s="4" t="s">
        <v>14</v>
      </c>
      <c r="C148" s="6">
        <f t="shared" ref="C148:G148" si="89">(C116-B116)/B116</f>
        <v>0.0488134354955952</v>
      </c>
      <c r="D148" s="6">
        <f t="shared" si="89"/>
        <v>0.0927398433992298</v>
      </c>
      <c r="E148" s="6">
        <f t="shared" si="89"/>
        <v>0.192257895797645</v>
      </c>
      <c r="F148" s="6">
        <f t="shared" si="89"/>
        <v>0.21450170824573</v>
      </c>
      <c r="G148" s="6">
        <f t="shared" si="89"/>
        <v>0.255186689819647</v>
      </c>
      <c r="I148" s="6">
        <f t="shared" si="78"/>
        <v>0.16069991455157</v>
      </c>
    </row>
    <row r="149" spans="1:9">
      <c r="A149" s="4" t="s">
        <v>15</v>
      </c>
      <c r="C149" s="6">
        <f t="shared" ref="C149:G149" si="90">(C117-B117)/B117</f>
        <v>0.163340057339791</v>
      </c>
      <c r="D149" s="6">
        <f t="shared" si="90"/>
        <v>0.337447968996699</v>
      </c>
      <c r="E149" s="6">
        <f t="shared" si="90"/>
        <v>0.296734127638127</v>
      </c>
      <c r="F149" s="6">
        <f t="shared" si="90"/>
        <v>0.19769564510464</v>
      </c>
      <c r="G149" s="6">
        <f t="shared" si="90"/>
        <v>0.170800238399561</v>
      </c>
      <c r="I149" s="6">
        <f t="shared" si="78"/>
        <v>0.233203607495764</v>
      </c>
    </row>
    <row r="150" spans="1:9">
      <c r="A150" s="4" t="s">
        <v>16</v>
      </c>
      <c r="C150" s="6">
        <f t="shared" ref="C150:G150" si="91">(C118-B118)/B118</f>
        <v>0.0983354245489968</v>
      </c>
      <c r="D150" s="6">
        <f t="shared" si="91"/>
        <v>0.178700604724426</v>
      </c>
      <c r="E150" s="6">
        <f t="shared" si="91"/>
        <v>0.200885968932453</v>
      </c>
      <c r="F150" s="6">
        <f t="shared" si="91"/>
        <v>0.239363997921081</v>
      </c>
      <c r="G150" s="6">
        <f t="shared" si="91"/>
        <v>0.264754669644287</v>
      </c>
      <c r="I150" s="6">
        <f t="shared" si="78"/>
        <v>0.196408133154249</v>
      </c>
    </row>
    <row r="151" spans="1:9">
      <c r="A151" s="4" t="s">
        <v>17</v>
      </c>
      <c r="C151" s="6">
        <f t="shared" ref="C151:G151" si="92">(C119-B119)/B119</f>
        <v>0.0866290356627868</v>
      </c>
      <c r="D151" s="6">
        <f t="shared" si="92"/>
        <v>0.142066593654247</v>
      </c>
      <c r="E151" s="6">
        <f t="shared" si="92"/>
        <v>0.160586169895925</v>
      </c>
      <c r="F151" s="6">
        <f t="shared" si="92"/>
        <v>0.201590624965171</v>
      </c>
      <c r="G151" s="6">
        <f t="shared" si="92"/>
        <v>0.381532009331054</v>
      </c>
      <c r="I151" s="6">
        <f t="shared" si="78"/>
        <v>0.194480886701837</v>
      </c>
    </row>
    <row r="152" spans="1:9">
      <c r="A152" s="4" t="s">
        <v>18</v>
      </c>
      <c r="C152" s="6">
        <f t="shared" ref="C152:G152" si="93">(C120-B120)/B120</f>
        <v>0.108462085835782</v>
      </c>
      <c r="D152" s="6">
        <f t="shared" si="93"/>
        <v>0.057269014013949</v>
      </c>
      <c r="E152" s="6">
        <f t="shared" si="93"/>
        <v>0.0682892656560064</v>
      </c>
      <c r="F152" s="6">
        <f t="shared" si="93"/>
        <v>0.169762435430634</v>
      </c>
      <c r="G152" s="6">
        <f t="shared" si="93"/>
        <v>0.179622982564772</v>
      </c>
      <c r="I152" s="6">
        <f t="shared" si="78"/>
        <v>0.116681156700229</v>
      </c>
    </row>
    <row r="153" spans="1:9">
      <c r="A153" s="4" t="s">
        <v>19</v>
      </c>
      <c r="C153" s="6">
        <f t="shared" ref="C153:G153" si="94">(C121-B121)/B121</f>
        <v>0.125087357878084</v>
      </c>
      <c r="D153" s="6">
        <f t="shared" si="94"/>
        <v>0.116439518344987</v>
      </c>
      <c r="E153" s="6">
        <f t="shared" si="94"/>
        <v>0.136356175638488</v>
      </c>
      <c r="F153" s="6">
        <f t="shared" si="94"/>
        <v>0.162452486764926</v>
      </c>
      <c r="G153" s="6">
        <f t="shared" si="94"/>
        <v>0.229736101924991</v>
      </c>
      <c r="I153" s="6">
        <f t="shared" si="78"/>
        <v>0.154014328110295</v>
      </c>
    </row>
    <row r="154" spans="1:9">
      <c r="A154" s="4" t="s">
        <v>20</v>
      </c>
      <c r="C154" s="6">
        <f t="shared" ref="C154:G154" si="95">(C122-B122)/B122</f>
        <v>0.112100485016869</v>
      </c>
      <c r="D154" s="6">
        <f t="shared" si="95"/>
        <v>0.17064948500302</v>
      </c>
      <c r="E154" s="6">
        <f t="shared" si="95"/>
        <v>0.212603198258231</v>
      </c>
      <c r="F154" s="6">
        <f t="shared" si="95"/>
        <v>0.1229236525606</v>
      </c>
      <c r="G154" s="6">
        <f t="shared" si="95"/>
        <v>0.225508400720218</v>
      </c>
      <c r="I154" s="6">
        <f t="shared" si="78"/>
        <v>0.168757044311788</v>
      </c>
    </row>
    <row r="155" spans="1:9">
      <c r="A155" s="4" t="s">
        <v>21</v>
      </c>
      <c r="C155" s="6">
        <f t="shared" ref="C155:G155" si="96">(C123-B123)/B123</f>
        <v>0.0752810779124145</v>
      </c>
      <c r="D155" s="6">
        <f t="shared" si="96"/>
        <v>0.142258145895122</v>
      </c>
      <c r="E155" s="6">
        <f t="shared" si="96"/>
        <v>0.154823113704599</v>
      </c>
      <c r="F155" s="6">
        <f t="shared" si="96"/>
        <v>0.251154776632082</v>
      </c>
      <c r="G155" s="6">
        <f t="shared" si="96"/>
        <v>0.331001549629091</v>
      </c>
      <c r="I155" s="6">
        <f t="shared" si="78"/>
        <v>0.190903732754662</v>
      </c>
    </row>
    <row r="156" spans="1:9">
      <c r="A156" s="4" t="s">
        <v>22</v>
      </c>
      <c r="C156" s="6">
        <f t="shared" ref="C156:G156" si="97">(C124-B124)/B124</f>
        <v>0.0482693334138999</v>
      </c>
      <c r="D156" s="6">
        <f t="shared" si="97"/>
        <v>0.112835340089328</v>
      </c>
      <c r="E156" s="6">
        <f t="shared" si="97"/>
        <v>0.131058863617003</v>
      </c>
      <c r="F156" s="6">
        <f t="shared" si="97"/>
        <v>0.109225849152417</v>
      </c>
      <c r="G156" s="6">
        <f t="shared" si="97"/>
        <v>0.193140916937595</v>
      </c>
      <c r="I156" s="6">
        <f t="shared" si="78"/>
        <v>0.118906060642048</v>
      </c>
    </row>
    <row r="157" spans="1:9">
      <c r="A157" s="4" t="s">
        <v>23</v>
      </c>
      <c r="C157" s="6">
        <f t="shared" ref="C157:G157" si="98">(C125-B125)/B125</f>
        <v>0.187392628213634</v>
      </c>
      <c r="D157" s="6">
        <f t="shared" si="98"/>
        <v>0.214022661950124</v>
      </c>
      <c r="E157" s="6">
        <f t="shared" si="98"/>
        <v>0.290863398732708</v>
      </c>
      <c r="F157" s="6">
        <f t="shared" si="98"/>
        <v>0.181439210458334</v>
      </c>
      <c r="G157" s="6">
        <f t="shared" si="98"/>
        <v>0.201346150074343</v>
      </c>
      <c r="I157" s="6">
        <f t="shared" si="78"/>
        <v>0.215012809885828</v>
      </c>
    </row>
    <row r="158" spans="1:9">
      <c r="A158" s="4" t="s">
        <v>24</v>
      </c>
      <c r="C158" s="6">
        <f t="shared" ref="C158:G158" si="99">(C126-B126)/B126</f>
        <v>0.104937478562202</v>
      </c>
      <c r="D158" s="6">
        <f t="shared" si="99"/>
        <v>0.140817945551606</v>
      </c>
      <c r="E158" s="6">
        <f t="shared" si="99"/>
        <v>0.165366131529893</v>
      </c>
      <c r="F158" s="6">
        <f t="shared" si="99"/>
        <v>0.129294489381269</v>
      </c>
      <c r="G158" s="6">
        <f t="shared" si="99"/>
        <v>0.182989026131717</v>
      </c>
      <c r="I158" s="6">
        <f t="shared" si="78"/>
        <v>0.144681014231337</v>
      </c>
    </row>
    <row r="159" spans="1:9">
      <c r="A159" s="4" t="s">
        <v>25</v>
      </c>
      <c r="C159" s="6">
        <f t="shared" ref="C159:G159" si="100">(C127-B127)/B127</f>
        <v>0.257168319663964</v>
      </c>
      <c r="D159" s="6">
        <f t="shared" si="100"/>
        <v>0.150505947766902</v>
      </c>
      <c r="E159" s="6">
        <f t="shared" si="100"/>
        <v>0.131928558693292</v>
      </c>
      <c r="F159" s="6">
        <f t="shared" si="100"/>
        <v>0.080640379557666</v>
      </c>
      <c r="G159" s="6">
        <f t="shared" si="100"/>
        <v>0.127854043120907</v>
      </c>
      <c r="I159" s="6">
        <f t="shared" si="78"/>
        <v>0.149619449760546</v>
      </c>
    </row>
    <row r="160" spans="1:9">
      <c r="A160" s="4" t="s">
        <v>26</v>
      </c>
      <c r="C160" s="6">
        <f t="shared" ref="C160:G160" si="101">(C128-B128)/B128</f>
        <v>0.0558022033668056</v>
      </c>
      <c r="D160" s="6">
        <f t="shared" si="101"/>
        <v>0.117462996624253</v>
      </c>
      <c r="E160" s="6">
        <f t="shared" si="101"/>
        <v>0.214761530275519</v>
      </c>
      <c r="F160" s="6">
        <f t="shared" si="101"/>
        <v>0.172262378521562</v>
      </c>
      <c r="G160" s="6">
        <f t="shared" si="101"/>
        <v>0.105456741343377</v>
      </c>
      <c r="I160" s="6">
        <f t="shared" si="78"/>
        <v>0.133149170026303</v>
      </c>
    </row>
    <row r="161" spans="1:9">
      <c r="A161" s="4" t="s">
        <v>27</v>
      </c>
      <c r="C161" s="6">
        <f t="shared" ref="C161:G161" si="102">(C129-B129)/B129</f>
        <v>0.0755722888352881</v>
      </c>
      <c r="D161" s="6">
        <f t="shared" si="102"/>
        <v>0.123715942643965</v>
      </c>
      <c r="E161" s="6">
        <f t="shared" si="102"/>
        <v>0.191176878694991</v>
      </c>
      <c r="F161" s="6">
        <f t="shared" si="102"/>
        <v>0.142911074851893</v>
      </c>
      <c r="G161" s="6">
        <f t="shared" si="102"/>
        <v>0.2691803649654</v>
      </c>
      <c r="I161" s="6">
        <f t="shared" si="78"/>
        <v>0.160511309998307</v>
      </c>
    </row>
    <row r="162" spans="1:9">
      <c r="A162" s="4" t="s">
        <v>28</v>
      </c>
      <c r="C162" s="6">
        <f t="shared" ref="C162:G162" si="103">(C130-B130)/B130</f>
        <v>0.214359506840982</v>
      </c>
      <c r="D162" s="6">
        <f t="shared" si="103"/>
        <v>0.152338727205188</v>
      </c>
      <c r="E162" s="6">
        <f t="shared" si="103"/>
        <v>0.135663335268642</v>
      </c>
      <c r="F162" s="6">
        <f t="shared" si="103"/>
        <v>0.160271097229834</v>
      </c>
      <c r="G162" s="6">
        <f t="shared" si="103"/>
        <v>0.131841374887783</v>
      </c>
      <c r="I162" s="6">
        <f t="shared" si="78"/>
        <v>0.158894808286486</v>
      </c>
    </row>
    <row r="163" spans="1:9">
      <c r="A163" s="4" t="s">
        <v>29</v>
      </c>
      <c r="C163" s="6">
        <f t="shared" ref="C163:G163" si="104">(C131-B131)/B131</f>
        <v>0.284100809630737</v>
      </c>
      <c r="D163" s="6">
        <f t="shared" si="104"/>
        <v>0.169481666553553</v>
      </c>
      <c r="E163" s="6">
        <f t="shared" si="104"/>
        <v>0.133799421407907</v>
      </c>
      <c r="F163" s="6">
        <f t="shared" si="104"/>
        <v>0.08566213083075</v>
      </c>
      <c r="G163" s="6">
        <f t="shared" si="104"/>
        <v>0.132288371655309</v>
      </c>
      <c r="I163" s="6">
        <f t="shared" si="78"/>
        <v>0.161066480015651</v>
      </c>
    </row>
    <row r="164" spans="1:9">
      <c r="A164" s="4" t="s">
        <v>30</v>
      </c>
      <c r="C164" s="6">
        <f t="shared" ref="C164:G164" si="105">(C132-B132)/B132</f>
        <v>0.199578759841037</v>
      </c>
      <c r="D164" s="6">
        <f t="shared" si="105"/>
        <v>0.170652275397989</v>
      </c>
      <c r="E164" s="6">
        <f t="shared" si="105"/>
        <v>0.34755325770079</v>
      </c>
      <c r="F164" s="6">
        <f t="shared" si="105"/>
        <v>0.137559601523405</v>
      </c>
      <c r="G164" s="6">
        <f t="shared" si="105"/>
        <v>0.211315766150903</v>
      </c>
      <c r="I164" s="6">
        <f t="shared" si="78"/>
        <v>0.213331932122825</v>
      </c>
    </row>
    <row r="165" spans="1:9">
      <c r="A165" s="4" t="s">
        <v>31</v>
      </c>
      <c r="C165" s="6">
        <f t="shared" ref="C165:G165" si="106">(C133-B133)/B133</f>
        <v>0.0839907695503544</v>
      </c>
      <c r="D165" s="6">
        <f t="shared" si="106"/>
        <v>0.187288257457201</v>
      </c>
      <c r="E165" s="6">
        <f t="shared" si="106"/>
        <v>0.218340630086344</v>
      </c>
      <c r="F165" s="6">
        <f t="shared" si="106"/>
        <v>0.0990367313237793</v>
      </c>
      <c r="G165" s="6">
        <f t="shared" si="106"/>
        <v>0.0864255858157944</v>
      </c>
      <c r="I165" s="6">
        <f t="shared" si="78"/>
        <v>0.135016394846695</v>
      </c>
    </row>
    <row r="167" spans="1:18">
      <c r="A167" s="6" t="s">
        <v>40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Q167" s="8" t="s">
        <v>41</v>
      </c>
      <c r="R167" s="8"/>
    </row>
    <row r="168" ht="14.4" customHeight="1" spans="1:20">
      <c r="A168" s="8" t="s">
        <v>42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Q168" s="8"/>
      <c r="R168" s="8"/>
      <c r="T168" s="8"/>
    </row>
    <row r="169" ht="14" customHeight="1" spans="1:20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10"/>
      <c r="Q169" s="10"/>
      <c r="R169" s="10"/>
      <c r="S169" s="10"/>
      <c r="T169" s="8"/>
    </row>
    <row r="170" spans="1:2">
      <c r="A170" s="4" t="s">
        <v>1</v>
      </c>
      <c r="B170" s="4">
        <v>2000</v>
      </c>
    </row>
    <row r="171" spans="1:2">
      <c r="A171" s="4" t="s">
        <v>2</v>
      </c>
      <c r="B171" s="9">
        <f>C104/(10.96%+I136)</f>
        <v>5862.1769373337</v>
      </c>
    </row>
    <row r="172" spans="1:2">
      <c r="A172" s="4" t="s">
        <v>3</v>
      </c>
      <c r="B172" s="9">
        <f t="shared" ref="B172:B200" si="107">C105/(10.96%+I137)</f>
        <v>2807.94062873993</v>
      </c>
    </row>
    <row r="173" spans="1:2">
      <c r="A173" s="4" t="s">
        <v>4</v>
      </c>
      <c r="B173" s="9">
        <f t="shared" si="107"/>
        <v>7089.86327053032</v>
      </c>
    </row>
    <row r="174" spans="1:2">
      <c r="A174" s="4" t="s">
        <v>5</v>
      </c>
      <c r="B174" s="9">
        <f t="shared" si="107"/>
        <v>2318.58223143565</v>
      </c>
    </row>
    <row r="175" spans="1:2">
      <c r="A175" s="4" t="s">
        <v>6</v>
      </c>
      <c r="B175" s="9">
        <f t="shared" si="107"/>
        <v>976.522390206497</v>
      </c>
    </row>
    <row r="176" spans="1:2">
      <c r="A176" s="4" t="s">
        <v>7</v>
      </c>
      <c r="B176" s="9">
        <f t="shared" si="107"/>
        <v>4018.02632657792</v>
      </c>
    </row>
    <row r="177" spans="1:2">
      <c r="A177" s="4" t="s">
        <v>8</v>
      </c>
      <c r="B177" s="9">
        <f t="shared" si="107"/>
        <v>2131.33969094803</v>
      </c>
    </row>
    <row r="178" spans="1:2">
      <c r="A178" s="4" t="s">
        <v>9</v>
      </c>
      <c r="B178" s="9">
        <f t="shared" si="107"/>
        <v>4548.83545791891</v>
      </c>
    </row>
    <row r="179" spans="1:2">
      <c r="A179" s="4" t="s">
        <v>10</v>
      </c>
      <c r="B179" s="9">
        <f t="shared" si="107"/>
        <v>9098.748044059</v>
      </c>
    </row>
    <row r="180" spans="1:2">
      <c r="A180" s="4" t="s">
        <v>11</v>
      </c>
      <c r="B180" s="9">
        <f t="shared" si="107"/>
        <v>11809.7484248133</v>
      </c>
    </row>
    <row r="181" spans="1:2">
      <c r="A181" s="4" t="s">
        <v>12</v>
      </c>
      <c r="B181" s="9">
        <f t="shared" si="107"/>
        <v>8442.83045742191</v>
      </c>
    </row>
    <row r="182" spans="1:2">
      <c r="A182" s="4" t="s">
        <v>13</v>
      </c>
      <c r="B182" s="9">
        <f t="shared" si="107"/>
        <v>3687.95588205477</v>
      </c>
    </row>
    <row r="183" spans="1:2">
      <c r="A183" s="4" t="s">
        <v>14</v>
      </c>
      <c r="B183" s="9">
        <f t="shared" si="107"/>
        <v>4721.83485483656</v>
      </c>
    </row>
    <row r="184" spans="1:2">
      <c r="A184" s="4" t="s">
        <v>15</v>
      </c>
      <c r="B184" s="9">
        <f t="shared" si="107"/>
        <v>2054.9636086611</v>
      </c>
    </row>
    <row r="185" spans="1:2">
      <c r="A185" s="4" t="s">
        <v>16</v>
      </c>
      <c r="B185" s="9">
        <f t="shared" si="107"/>
        <v>11338.5043738823</v>
      </c>
    </row>
    <row r="186" spans="1:2">
      <c r="A186" s="4" t="s">
        <v>17</v>
      </c>
      <c r="B186" s="9">
        <f t="shared" si="107"/>
        <v>5865.62844299018</v>
      </c>
    </row>
    <row r="187" spans="1:2">
      <c r="A187" s="4" t="s">
        <v>18</v>
      </c>
      <c r="B187" s="9">
        <f t="shared" si="107"/>
        <v>7112.04018394101</v>
      </c>
    </row>
    <row r="188" spans="1:2">
      <c r="A188" s="4" t="s">
        <v>19</v>
      </c>
      <c r="B188" s="9">
        <f t="shared" si="107"/>
        <v>4617.89967924185</v>
      </c>
    </row>
    <row r="189" spans="1:2">
      <c r="A189" s="4" t="s">
        <v>20</v>
      </c>
      <c r="B189" s="9">
        <f t="shared" si="107"/>
        <v>12360.5232663019</v>
      </c>
    </row>
    <row r="190" spans="1:2">
      <c r="A190" s="4" t="s">
        <v>21</v>
      </c>
      <c r="B190" s="9">
        <f t="shared" si="107"/>
        <v>2399.76138829102</v>
      </c>
    </row>
    <row r="191" spans="1:2">
      <c r="A191" s="4" t="s">
        <v>22</v>
      </c>
      <c r="B191" s="9">
        <f t="shared" si="107"/>
        <v>908.323076564205</v>
      </c>
    </row>
    <row r="192" spans="1:2">
      <c r="A192" s="4" t="s">
        <v>23</v>
      </c>
      <c r="B192" s="9">
        <f t="shared" si="107"/>
        <v>2297.18120091045</v>
      </c>
    </row>
    <row r="193" spans="1:2">
      <c r="A193" s="4" t="s">
        <v>24</v>
      </c>
      <c r="B193" s="9">
        <f t="shared" si="107"/>
        <v>6086.47437373858</v>
      </c>
    </row>
    <row r="194" spans="1:2">
      <c r="A194" s="4" t="s">
        <v>25</v>
      </c>
      <c r="B194" s="9">
        <f t="shared" si="107"/>
        <v>2212.78001345863</v>
      </c>
    </row>
    <row r="195" spans="1:2">
      <c r="A195" s="4" t="s">
        <v>26</v>
      </c>
      <c r="B195" s="9">
        <f t="shared" si="107"/>
        <v>3141.40829953451</v>
      </c>
    </row>
    <row r="196" spans="1:2">
      <c r="A196" s="4" t="s">
        <v>27</v>
      </c>
      <c r="B196" s="9">
        <f t="shared" si="107"/>
        <v>3170.43613011252</v>
      </c>
    </row>
    <row r="197" spans="1:2">
      <c r="A197" s="4" t="s">
        <v>28</v>
      </c>
      <c r="B197" s="9">
        <f t="shared" si="107"/>
        <v>1691.09050005678</v>
      </c>
    </row>
    <row r="198" spans="1:2">
      <c r="A198" s="4" t="s">
        <v>29</v>
      </c>
      <c r="B198" s="9">
        <f t="shared" si="107"/>
        <v>744.699912882014</v>
      </c>
    </row>
    <row r="199" spans="1:2">
      <c r="A199" s="4" t="s">
        <v>30</v>
      </c>
      <c r="B199" s="9">
        <f t="shared" si="107"/>
        <v>597.389842774239</v>
      </c>
    </row>
    <row r="200" spans="1:2">
      <c r="A200" s="4" t="s">
        <v>31</v>
      </c>
      <c r="B200" s="9">
        <f t="shared" si="107"/>
        <v>2872.07281425793</v>
      </c>
    </row>
    <row r="202" spans="1:24">
      <c r="A202" s="6" t="s">
        <v>43</v>
      </c>
      <c r="B202" s="6"/>
      <c r="C202" s="6"/>
      <c r="D202" s="6"/>
      <c r="X202" s="4"/>
    </row>
    <row r="203" s="4" customFormat="1" spans="1:24">
      <c r="A203" s="6" t="s">
        <v>1</v>
      </c>
      <c r="B203" s="6">
        <v>2000</v>
      </c>
      <c r="C203" s="6">
        <v>2001</v>
      </c>
      <c r="D203" s="6">
        <v>2002</v>
      </c>
      <c r="E203" s="6">
        <v>2003</v>
      </c>
      <c r="F203" s="6">
        <v>2004</v>
      </c>
      <c r="G203" s="6">
        <v>2005</v>
      </c>
      <c r="H203" s="6">
        <v>2006</v>
      </c>
      <c r="I203" s="6">
        <v>2007</v>
      </c>
      <c r="J203" s="6">
        <v>2008</v>
      </c>
      <c r="K203" s="6">
        <v>2009</v>
      </c>
      <c r="L203" s="6">
        <v>2010</v>
      </c>
      <c r="M203" s="6">
        <v>2011</v>
      </c>
      <c r="N203" s="6">
        <v>2012</v>
      </c>
      <c r="O203" s="6">
        <v>2013</v>
      </c>
      <c r="P203" s="6">
        <v>2014</v>
      </c>
      <c r="Q203" s="6">
        <v>2015</v>
      </c>
      <c r="R203" s="6">
        <v>2016</v>
      </c>
      <c r="S203" s="6">
        <v>2017</v>
      </c>
      <c r="T203" s="6">
        <v>2018</v>
      </c>
      <c r="U203" s="4">
        <v>2019</v>
      </c>
      <c r="V203" s="4">
        <v>2020</v>
      </c>
      <c r="W203" s="6">
        <v>2021</v>
      </c>
      <c r="X203">
        <v>2022</v>
      </c>
    </row>
    <row r="204" spans="1:24">
      <c r="A204" s="4" t="s">
        <v>2</v>
      </c>
      <c r="B204" s="11">
        <v>5862.1769373337</v>
      </c>
      <c r="C204" s="11">
        <f>B204*(1-10.96%)+C104</f>
        <v>6812.18731518085</v>
      </c>
      <c r="D204" s="11">
        <f t="shared" ref="D204:X204" si="108">C204*(1-10.96%)+D104</f>
        <v>7998.0801198877</v>
      </c>
      <c r="E204" s="11">
        <f t="shared" si="108"/>
        <v>9483.21775925791</v>
      </c>
      <c r="F204" s="11">
        <f t="shared" si="108"/>
        <v>11085.6999221717</v>
      </c>
      <c r="G204" s="11">
        <f t="shared" si="108"/>
        <v>12826.5697672032</v>
      </c>
      <c r="H204" s="11">
        <f t="shared" si="108"/>
        <v>14683.2090727351</v>
      </c>
      <c r="I204" s="11">
        <f t="shared" si="108"/>
        <v>16668.8300069252</v>
      </c>
      <c r="J204" s="11">
        <f t="shared" si="108"/>
        <v>18149.2319094442</v>
      </c>
      <c r="K204" s="11">
        <f t="shared" si="108"/>
        <v>19946.5364719419</v>
      </c>
      <c r="L204" s="11">
        <f t="shared" si="108"/>
        <v>22210.3073285137</v>
      </c>
      <c r="M204" s="11">
        <f t="shared" si="108"/>
        <v>24467.8477949572</v>
      </c>
      <c r="N204" s="11">
        <f t="shared" si="108"/>
        <v>27257.0717505261</v>
      </c>
      <c r="O204" s="11">
        <f t="shared" si="108"/>
        <v>30184.1489906487</v>
      </c>
      <c r="P204" s="11">
        <f t="shared" si="108"/>
        <v>33072.1644598143</v>
      </c>
      <c r="Q204" s="11">
        <f t="shared" si="108"/>
        <v>35954.1187202758</v>
      </c>
      <c r="R204" s="11">
        <f t="shared" si="108"/>
        <v>39788.7154976584</v>
      </c>
      <c r="S204" s="11">
        <f t="shared" si="108"/>
        <v>43357.8647847541</v>
      </c>
      <c r="T204" s="12">
        <f t="shared" si="108"/>
        <v>45825.3446519643</v>
      </c>
      <c r="U204" s="11">
        <f t="shared" si="108"/>
        <v>47697.1222370012</v>
      </c>
      <c r="V204" s="11">
        <f t="shared" si="108"/>
        <v>49397.6479611511</v>
      </c>
      <c r="W204" s="11">
        <f t="shared" si="108"/>
        <v>51172.200568615</v>
      </c>
      <c r="X204" s="11">
        <f t="shared" si="108"/>
        <v>52879.3679341045</v>
      </c>
    </row>
    <row r="205" spans="1:24">
      <c r="A205" s="4" t="s">
        <v>3</v>
      </c>
      <c r="B205" s="11">
        <v>2807.94062873993</v>
      </c>
      <c r="C205" s="11">
        <f t="shared" ref="C205:T205" si="109">B205*(1-10.96%)+C105</f>
        <v>3307.95362569964</v>
      </c>
      <c r="D205" s="11">
        <f t="shared" si="109"/>
        <v>3879.510767564</v>
      </c>
      <c r="E205" s="11">
        <f t="shared" si="109"/>
        <v>4614.20185457044</v>
      </c>
      <c r="F205" s="11">
        <f t="shared" si="109"/>
        <v>5432.97969277671</v>
      </c>
      <c r="G205" s="11">
        <f t="shared" si="109"/>
        <v>6411.33994156786</v>
      </c>
      <c r="H205" s="11">
        <f t="shared" si="109"/>
        <v>7584.07078368624</v>
      </c>
      <c r="I205" s="11">
        <f t="shared" si="109"/>
        <v>9043.00686681579</v>
      </c>
      <c r="J205" s="11">
        <f t="shared" si="109"/>
        <v>10934.1507533216</v>
      </c>
      <c r="K205" s="11">
        <f t="shared" si="109"/>
        <v>13908.1892581697</v>
      </c>
      <c r="L205" s="11">
        <f t="shared" si="109"/>
        <v>17564.2575713886</v>
      </c>
      <c r="M205" s="11">
        <f t="shared" si="109"/>
        <v>21753.6007137972</v>
      </c>
      <c r="N205" s="11">
        <f t="shared" si="109"/>
        <v>26426.9599131107</v>
      </c>
      <c r="O205" s="11">
        <f t="shared" si="109"/>
        <v>31479.5427314022</v>
      </c>
      <c r="P205" s="11">
        <f t="shared" si="109"/>
        <v>36620.0724274551</v>
      </c>
      <c r="Q205" s="11">
        <f t="shared" si="109"/>
        <v>40567.0768845549</v>
      </c>
      <c r="R205" s="11">
        <f t="shared" si="109"/>
        <v>43838.1249980635</v>
      </c>
      <c r="S205" s="11">
        <f t="shared" si="109"/>
        <v>46449.7506335444</v>
      </c>
      <c r="T205" s="12">
        <f t="shared" si="109"/>
        <v>48058.352915011</v>
      </c>
      <c r="U205" s="11">
        <f t="shared" ref="U205:V233" si="110">T205*(1-10.96%)+U105</f>
        <v>50241.6282216333</v>
      </c>
      <c r="V205" s="11">
        <f t="shared" si="110"/>
        <v>52258.6603858862</v>
      </c>
      <c r="W205" s="11">
        <f t="shared" ref="W205:W233" si="111">V205*(1-10.96%)+W105</f>
        <v>54314.5695678857</v>
      </c>
      <c r="X205" s="11">
        <f t="shared" ref="X205:X233" si="112">W205*(1-10.96%)+X105</f>
        <v>55243.8281530821</v>
      </c>
    </row>
    <row r="206" spans="1:24">
      <c r="A206" s="4" t="s">
        <v>4</v>
      </c>
      <c r="B206" s="11">
        <v>7089.86327053032</v>
      </c>
      <c r="C206" s="11">
        <f t="shared" ref="C206:T206" si="113">B206*(1-10.96%)+C106</f>
        <v>8262.36380562975</v>
      </c>
      <c r="D206" s="11">
        <f t="shared" si="113"/>
        <v>9427.30133568864</v>
      </c>
      <c r="E206" s="11">
        <f t="shared" si="113"/>
        <v>10864.8737630596</v>
      </c>
      <c r="F206" s="11">
        <f t="shared" si="113"/>
        <v>12688.4088522275</v>
      </c>
      <c r="G206" s="11">
        <f t="shared" si="113"/>
        <v>15203.1250533072</v>
      </c>
      <c r="H206" s="11">
        <f t="shared" si="113"/>
        <v>18036.1083745891</v>
      </c>
      <c r="I206" s="11">
        <f t="shared" si="113"/>
        <v>21327.2529647413</v>
      </c>
      <c r="J206" s="11">
        <f t="shared" si="113"/>
        <v>25464.8418512239</v>
      </c>
      <c r="K206" s="11">
        <f t="shared" si="113"/>
        <v>30259.5694791842</v>
      </c>
      <c r="L206" s="11">
        <f t="shared" si="113"/>
        <v>35349.8747249381</v>
      </c>
      <c r="M206" s="11">
        <f t="shared" si="113"/>
        <v>41583.2725408158</v>
      </c>
      <c r="N206" s="11">
        <f t="shared" si="113"/>
        <v>48133.3040700772</v>
      </c>
      <c r="O206" s="11">
        <f t="shared" si="113"/>
        <v>54771.8763638397</v>
      </c>
      <c r="P206" s="11">
        <f t="shared" si="113"/>
        <v>61319.181311865</v>
      </c>
      <c r="Q206" s="11">
        <f t="shared" si="113"/>
        <v>67580.7590592967</v>
      </c>
      <c r="R206" s="11">
        <f t="shared" si="113"/>
        <v>74213.5608656015</v>
      </c>
      <c r="S206" s="11">
        <f t="shared" si="113"/>
        <v>79548.9572402134</v>
      </c>
      <c r="T206" s="12">
        <f t="shared" si="113"/>
        <v>84427.8722926009</v>
      </c>
      <c r="U206" s="11">
        <f t="shared" si="110"/>
        <v>89234.1085725352</v>
      </c>
      <c r="V206" s="11">
        <f t="shared" si="110"/>
        <v>93665.0552464093</v>
      </c>
      <c r="W206" s="11">
        <f t="shared" si="111"/>
        <v>97891.7762039044</v>
      </c>
      <c r="X206" s="11">
        <f t="shared" si="112"/>
        <v>102523.654312398</v>
      </c>
    </row>
    <row r="207" spans="1:24">
      <c r="A207" s="4" t="s">
        <v>5</v>
      </c>
      <c r="B207" s="11">
        <v>2318.58223143565</v>
      </c>
      <c r="C207" s="11">
        <f>B207*(1-10.96%)+C107</f>
        <v>2795.04575653009</v>
      </c>
      <c r="D207" s="11">
        <f t="shared" ref="D207:T207" si="114">C207*(1-10.96%)+D107</f>
        <v>3346.46519044203</v>
      </c>
      <c r="E207" s="11">
        <f t="shared" si="114"/>
        <v>4038.14372902888</v>
      </c>
      <c r="F207" s="11">
        <f t="shared" si="114"/>
        <v>4932.7646305992</v>
      </c>
      <c r="G207" s="11">
        <f t="shared" si="114"/>
        <v>6057.08384794926</v>
      </c>
      <c r="H207" s="11">
        <f t="shared" si="114"/>
        <v>7421.0362522083</v>
      </c>
      <c r="I207" s="11">
        <f t="shared" si="114"/>
        <v>9024.05633778732</v>
      </c>
      <c r="J207" s="11">
        <f t="shared" si="114"/>
        <v>10664.7015005817</v>
      </c>
      <c r="K207" s="11">
        <f t="shared" si="114"/>
        <v>13124.8000556656</v>
      </c>
      <c r="L207" s="11">
        <f t="shared" si="114"/>
        <v>15903.1624331299</v>
      </c>
      <c r="M207" s="11">
        <f t="shared" si="114"/>
        <v>19115.8437599927</v>
      </c>
      <c r="N207" s="11">
        <f t="shared" si="114"/>
        <v>22192.5048257376</v>
      </c>
      <c r="O207" s="11">
        <f t="shared" si="114"/>
        <v>25597.9674839931</v>
      </c>
      <c r="P207" s="11">
        <f t="shared" si="114"/>
        <v>28737.9118566531</v>
      </c>
      <c r="Q207" s="11">
        <f t="shared" si="114"/>
        <v>31644.8063888394</v>
      </c>
      <c r="R207" s="11">
        <f t="shared" si="114"/>
        <v>33922.6277992884</v>
      </c>
      <c r="S207" s="11">
        <f t="shared" si="114"/>
        <v>34532.1144858667</v>
      </c>
      <c r="T207" s="12">
        <f t="shared" si="114"/>
        <v>35124.4941400368</v>
      </c>
      <c r="U207" s="11">
        <f t="shared" si="110"/>
        <v>35875.0127036257</v>
      </c>
      <c r="V207" s="11">
        <f t="shared" si="110"/>
        <v>36887.5043260786</v>
      </c>
      <c r="W207" s="11">
        <f t="shared" si="111"/>
        <v>38165.9756411041</v>
      </c>
      <c r="X207" s="11">
        <f t="shared" si="112"/>
        <v>39502.3783981303</v>
      </c>
    </row>
    <row r="208" spans="1:24">
      <c r="A208" s="4" t="s">
        <v>6</v>
      </c>
      <c r="B208" s="11">
        <v>976.522390206497</v>
      </c>
      <c r="C208" s="11">
        <f t="shared" ref="C208:T208" si="115">B208*(1-10.96%)+C108</f>
        <v>1375.46775846209</v>
      </c>
      <c r="D208" s="11">
        <f t="shared" si="115"/>
        <v>1941.13366956667</v>
      </c>
      <c r="E208" s="11">
        <f t="shared" si="115"/>
        <v>2904.26010793707</v>
      </c>
      <c r="F208" s="11">
        <f t="shared" si="115"/>
        <v>4243.29013561477</v>
      </c>
      <c r="G208" s="11">
        <f t="shared" si="115"/>
        <v>6139.15249448714</v>
      </c>
      <c r="H208" s="11">
        <f t="shared" si="115"/>
        <v>8320.93171299569</v>
      </c>
      <c r="I208" s="11">
        <f t="shared" si="115"/>
        <v>10981.1246070873</v>
      </c>
      <c r="J208" s="11">
        <f t="shared" si="115"/>
        <v>13966.8053037403</v>
      </c>
      <c r="K208" s="11">
        <f t="shared" si="115"/>
        <v>18154.1059004029</v>
      </c>
      <c r="L208" s="11">
        <f t="shared" si="115"/>
        <v>22695.3656612111</v>
      </c>
      <c r="M208" s="11">
        <f t="shared" si="115"/>
        <v>27656.7119616698</v>
      </c>
      <c r="N208" s="11">
        <f t="shared" si="115"/>
        <v>33389.295836039</v>
      </c>
      <c r="O208" s="11">
        <f t="shared" si="115"/>
        <v>40113.2895189017</v>
      </c>
      <c r="P208" s="11">
        <f t="shared" si="115"/>
        <v>44873.4502662637</v>
      </c>
      <c r="Q208" s="11">
        <f t="shared" si="115"/>
        <v>49569.9953566307</v>
      </c>
      <c r="R208" s="11">
        <f t="shared" si="115"/>
        <v>52854.4142115008</v>
      </c>
      <c r="S208" s="11">
        <f t="shared" si="115"/>
        <v>54076.299114551</v>
      </c>
      <c r="T208" s="12">
        <f t="shared" si="115"/>
        <v>53004.3248381137</v>
      </c>
      <c r="U208" s="11">
        <f t="shared" si="110"/>
        <v>52288.5207568538</v>
      </c>
      <c r="V208" s="11">
        <f t="shared" si="110"/>
        <v>51481.2198555849</v>
      </c>
      <c r="W208" s="11">
        <f t="shared" si="111"/>
        <v>51196.6839365221</v>
      </c>
      <c r="X208" s="11">
        <f t="shared" si="112"/>
        <v>51774.8982944471</v>
      </c>
    </row>
    <row r="209" spans="1:24">
      <c r="A209" s="4" t="s">
        <v>7</v>
      </c>
      <c r="B209" s="11">
        <v>4018.02632657792</v>
      </c>
      <c r="C209" s="11">
        <f t="shared" ref="C209:T209" si="116">B209*(1-10.96%)+C109</f>
        <v>5016.04705552761</v>
      </c>
      <c r="D209" s="11">
        <f t="shared" si="116"/>
        <v>6076.09534611781</v>
      </c>
      <c r="E209" s="11">
        <f t="shared" si="116"/>
        <v>7438.61471401612</v>
      </c>
      <c r="F209" s="11">
        <f t="shared" si="116"/>
        <v>9316.72684765684</v>
      </c>
      <c r="G209" s="11">
        <f t="shared" si="116"/>
        <v>12128.9501746884</v>
      </c>
      <c r="H209" s="11">
        <f t="shared" si="116"/>
        <v>15424.6849831605</v>
      </c>
      <c r="I209" s="11">
        <f t="shared" si="116"/>
        <v>19030.7166338425</v>
      </c>
      <c r="J209" s="11">
        <f t="shared" si="116"/>
        <v>23188.530395689</v>
      </c>
      <c r="K209" s="11">
        <f t="shared" si="116"/>
        <v>27725.810789299</v>
      </c>
      <c r="L209" s="11">
        <f t="shared" si="116"/>
        <v>33211.6889544513</v>
      </c>
      <c r="M209" s="11">
        <f t="shared" si="116"/>
        <v>39297.1672560364</v>
      </c>
      <c r="N209" s="11">
        <f t="shared" si="116"/>
        <v>45744.8921604113</v>
      </c>
      <c r="O209" s="11">
        <f t="shared" si="116"/>
        <v>52507.9911195677</v>
      </c>
      <c r="P209" s="11">
        <f t="shared" si="116"/>
        <v>58886.1373410554</v>
      </c>
      <c r="Q209" s="11">
        <f t="shared" si="116"/>
        <v>61290.3284551761</v>
      </c>
      <c r="R209" s="11">
        <f t="shared" si="116"/>
        <v>61342.0401535393</v>
      </c>
      <c r="S209" s="11">
        <f t="shared" si="116"/>
        <v>61459.3854816713</v>
      </c>
      <c r="T209" s="12">
        <f t="shared" si="116"/>
        <v>61577.087989722</v>
      </c>
      <c r="U209" s="11">
        <f t="shared" si="110"/>
        <v>61495.7581667201</v>
      </c>
      <c r="V209" s="11">
        <f t="shared" si="110"/>
        <v>61436.3645904065</v>
      </c>
      <c r="W209" s="11">
        <f t="shared" si="111"/>
        <v>61482.5983767446</v>
      </c>
      <c r="X209" s="11">
        <f t="shared" si="112"/>
        <v>61630.1125376757</v>
      </c>
    </row>
    <row r="210" spans="1:24">
      <c r="A210" s="4" t="s">
        <v>8</v>
      </c>
      <c r="B210" s="11">
        <v>2131.33969094803</v>
      </c>
      <c r="C210" s="11">
        <f t="shared" ref="C210:T210" si="117">B210*(1-10.96%)+C110</f>
        <v>2589.7824473681</v>
      </c>
      <c r="D210" s="11">
        <f t="shared" si="117"/>
        <v>3111.50794639902</v>
      </c>
      <c r="E210" s="11">
        <f t="shared" si="117"/>
        <v>3735.4065060362</v>
      </c>
      <c r="F210" s="11">
        <f t="shared" si="117"/>
        <v>4525.75933637756</v>
      </c>
      <c r="G210" s="11">
        <f t="shared" si="117"/>
        <v>5670.77874405397</v>
      </c>
      <c r="H210" s="11">
        <f t="shared" si="117"/>
        <v>7547.52523677888</v>
      </c>
      <c r="I210" s="11">
        <f t="shared" si="117"/>
        <v>10152.7722428191</v>
      </c>
      <c r="J210" s="11">
        <f t="shared" si="117"/>
        <v>13521.6103996173</v>
      </c>
      <c r="K210" s="11">
        <f t="shared" si="117"/>
        <v>17088.6959489173</v>
      </c>
      <c r="L210" s="11">
        <f t="shared" si="117"/>
        <v>21196.5594192627</v>
      </c>
      <c r="M210" s="11">
        <f t="shared" si="117"/>
        <v>25085.3078899471</v>
      </c>
      <c r="N210" s="11">
        <f t="shared" si="117"/>
        <v>29174.3202986581</v>
      </c>
      <c r="O210" s="11">
        <f t="shared" si="117"/>
        <v>33197.644742202</v>
      </c>
      <c r="P210" s="11">
        <f t="shared" si="117"/>
        <v>37224.6414368963</v>
      </c>
      <c r="Q210" s="11">
        <f t="shared" si="117"/>
        <v>41474.6915067063</v>
      </c>
      <c r="R210" s="11">
        <f t="shared" si="117"/>
        <v>44743.0765655558</v>
      </c>
      <c r="S210" s="11">
        <f t="shared" si="117"/>
        <v>47176.5647349615</v>
      </c>
      <c r="T210" s="12">
        <f t="shared" si="117"/>
        <v>49132.9029443755</v>
      </c>
      <c r="U210" s="11">
        <f t="shared" si="110"/>
        <v>49568.9246688634</v>
      </c>
      <c r="V210" s="11">
        <f t="shared" si="110"/>
        <v>50298.5653265522</v>
      </c>
      <c r="W210" s="11">
        <f t="shared" si="111"/>
        <v>51585.3040275473</v>
      </c>
      <c r="X210" s="11">
        <f t="shared" si="112"/>
        <v>52431.3337323047</v>
      </c>
    </row>
    <row r="211" spans="1:24">
      <c r="A211" s="4" t="s">
        <v>9</v>
      </c>
      <c r="B211" s="11">
        <v>4548.83545791891</v>
      </c>
      <c r="C211" s="11">
        <f t="shared" ref="C211:T211" si="118">B211*(1-10.96%)+C111</f>
        <v>5096.03733748524</v>
      </c>
      <c r="D211" s="11">
        <f t="shared" si="118"/>
        <v>5686.96099833903</v>
      </c>
      <c r="E211" s="11">
        <f t="shared" si="118"/>
        <v>6292.92218457261</v>
      </c>
      <c r="F211" s="11">
        <f t="shared" si="118"/>
        <v>7011.13118898405</v>
      </c>
      <c r="G211" s="11">
        <f t="shared" si="118"/>
        <v>7867.18457701065</v>
      </c>
      <c r="H211" s="11">
        <f t="shared" si="118"/>
        <v>8990.38954254816</v>
      </c>
      <c r="I211" s="11">
        <f t="shared" si="118"/>
        <v>10454.7094696972</v>
      </c>
      <c r="J211" s="11">
        <f t="shared" si="118"/>
        <v>12163.4103356107</v>
      </c>
      <c r="K211" s="11">
        <f t="shared" si="118"/>
        <v>14417.7440877652</v>
      </c>
      <c r="L211" s="11">
        <f t="shared" si="118"/>
        <v>16952.6866665484</v>
      </c>
      <c r="M211" s="11">
        <f t="shared" si="118"/>
        <v>19763.785386481</v>
      </c>
      <c r="N211" s="11">
        <f t="shared" si="118"/>
        <v>23089.4544376368</v>
      </c>
      <c r="O211" s="11">
        <f t="shared" si="118"/>
        <v>26977.3052010213</v>
      </c>
      <c r="P211" s="11">
        <f t="shared" si="118"/>
        <v>30533.3876862751</v>
      </c>
      <c r="Q211" s="11">
        <f t="shared" si="118"/>
        <v>34031.8965384083</v>
      </c>
      <c r="R211" s="11">
        <f t="shared" si="118"/>
        <v>36822.9623049518</v>
      </c>
      <c r="S211" s="11">
        <f t="shared" si="118"/>
        <v>39438.2370071893</v>
      </c>
      <c r="T211" s="12">
        <f t="shared" si="118"/>
        <v>41251.7897901847</v>
      </c>
      <c r="U211" s="11">
        <f t="shared" si="110"/>
        <v>43201.3778783861</v>
      </c>
      <c r="V211" s="11">
        <f t="shared" si="110"/>
        <v>45019.5200419737</v>
      </c>
      <c r="W211" s="11">
        <f t="shared" si="111"/>
        <v>47016.2017413161</v>
      </c>
      <c r="X211" s="11">
        <f t="shared" si="112"/>
        <v>48705.6264451081</v>
      </c>
    </row>
    <row r="212" spans="1:24">
      <c r="A212" s="4" t="s">
        <v>10</v>
      </c>
      <c r="B212" s="11">
        <v>9098.748044059</v>
      </c>
      <c r="C212" s="11">
        <f t="shared" ref="C212:T212" si="119">B212*(1-10.96%)+C112</f>
        <v>10186.9175126506</v>
      </c>
      <c r="D212" s="11">
        <f t="shared" si="119"/>
        <v>11413.0559125554</v>
      </c>
      <c r="E212" s="11">
        <f t="shared" si="119"/>
        <v>12717.6992232285</v>
      </c>
      <c r="F212" s="11">
        <f t="shared" si="119"/>
        <v>14258.9301243225</v>
      </c>
      <c r="G212" s="11">
        <f t="shared" si="119"/>
        <v>16090.2535753295</v>
      </c>
      <c r="H212" s="11">
        <f t="shared" si="119"/>
        <v>18263.302779269</v>
      </c>
      <c r="I212" s="11">
        <f t="shared" si="119"/>
        <v>20767.1839283534</v>
      </c>
      <c r="J212" s="11">
        <f t="shared" si="119"/>
        <v>23006.0987737888</v>
      </c>
      <c r="K212" s="11">
        <f t="shared" si="119"/>
        <v>25829.9019833069</v>
      </c>
      <c r="L212" s="11">
        <f t="shared" si="119"/>
        <v>28094.8678788327</v>
      </c>
      <c r="M212" s="11">
        <f t="shared" si="119"/>
        <v>30116.6395628508</v>
      </c>
      <c r="N212" s="11">
        <f t="shared" si="119"/>
        <v>32106.6208260222</v>
      </c>
      <c r="O212" s="11">
        <f t="shared" si="119"/>
        <v>34323.1836571733</v>
      </c>
      <c r="P212" s="11">
        <f t="shared" si="119"/>
        <v>36571.9808649684</v>
      </c>
      <c r="Q212" s="11">
        <f t="shared" si="119"/>
        <v>39515.1265834537</v>
      </c>
      <c r="R212" s="11">
        <f t="shared" si="119"/>
        <v>43428.8406781303</v>
      </c>
      <c r="S212" s="11">
        <f t="shared" si="119"/>
        <v>47032.4566178106</v>
      </c>
      <c r="T212" s="12">
        <f t="shared" si="119"/>
        <v>50209.4366411156</v>
      </c>
      <c r="U212" s="11">
        <f t="shared" si="110"/>
        <v>53342.2376804332</v>
      </c>
      <c r="V212" s="11">
        <f t="shared" si="110"/>
        <v>56861.9442522781</v>
      </c>
      <c r="W212" s="11">
        <f t="shared" si="111"/>
        <v>60625.228015341</v>
      </c>
      <c r="X212" s="11">
        <f t="shared" si="112"/>
        <v>63634.7511464025</v>
      </c>
    </row>
    <row r="213" spans="1:24">
      <c r="A213" s="4" t="s">
        <v>11</v>
      </c>
      <c r="B213" s="11">
        <v>11809.7484248133</v>
      </c>
      <c r="C213" s="11">
        <f t="shared" ref="C213:T213" si="120">B213*(1-10.96%)+C113</f>
        <v>14030.4396799934</v>
      </c>
      <c r="D213" s="11">
        <f t="shared" si="120"/>
        <v>16388.9962756333</v>
      </c>
      <c r="E213" s="11">
        <f t="shared" si="120"/>
        <v>19718.7570810925</v>
      </c>
      <c r="F213" s="11">
        <f t="shared" si="120"/>
        <v>23518.5469513781</v>
      </c>
      <c r="G213" s="11">
        <f t="shared" si="120"/>
        <v>28472.2375868374</v>
      </c>
      <c r="H213" s="11">
        <f t="shared" si="120"/>
        <v>33781.9835003429</v>
      </c>
      <c r="I213" s="11">
        <f t="shared" si="120"/>
        <v>39439.7745161682</v>
      </c>
      <c r="J213" s="11">
        <f t="shared" si="120"/>
        <v>45303.1666773611</v>
      </c>
      <c r="K213" s="11">
        <f t="shared" si="120"/>
        <v>53065.4175744696</v>
      </c>
      <c r="L213" s="11">
        <f t="shared" si="120"/>
        <v>61882.7323271849</v>
      </c>
      <c r="M213" s="11">
        <f t="shared" si="120"/>
        <v>71324.7846251775</v>
      </c>
      <c r="N213" s="11">
        <f t="shared" si="120"/>
        <v>81232.7251479906</v>
      </c>
      <c r="O213" s="11">
        <f t="shared" si="120"/>
        <v>90831.651232368</v>
      </c>
      <c r="P213" s="11">
        <f t="shared" si="120"/>
        <v>99893.8193234048</v>
      </c>
      <c r="Q213" s="11">
        <f t="shared" si="120"/>
        <v>109499.770690039</v>
      </c>
      <c r="R213" s="11">
        <f t="shared" si="120"/>
        <v>119910.227318155</v>
      </c>
      <c r="S213" s="11">
        <f t="shared" si="120"/>
        <v>130284.515292313</v>
      </c>
      <c r="T213" s="12">
        <f t="shared" si="120"/>
        <v>139410.854658805</v>
      </c>
      <c r="U213" s="11">
        <f t="shared" si="110"/>
        <v>148414.943129265</v>
      </c>
      <c r="V213" s="11">
        <f t="shared" si="110"/>
        <v>155910.976284725</v>
      </c>
      <c r="W213" s="11">
        <f t="shared" si="111"/>
        <v>163567.744461013</v>
      </c>
      <c r="X213" s="11">
        <f t="shared" si="112"/>
        <v>170772.722018208</v>
      </c>
    </row>
    <row r="214" spans="1:24">
      <c r="A214" s="4" t="s">
        <v>12</v>
      </c>
      <c r="B214" s="11">
        <v>8442.83045742191</v>
      </c>
      <c r="C214" s="11">
        <f t="shared" ref="C214:T214" si="121">B214*(1-10.96%)+C114</f>
        <v>10152.3567970574</v>
      </c>
      <c r="D214" s="11">
        <f t="shared" si="121"/>
        <v>12265.6896906886</v>
      </c>
      <c r="E214" s="11">
        <f t="shared" si="121"/>
        <v>15211.1592938534</v>
      </c>
      <c r="F214" s="11">
        <f t="shared" si="121"/>
        <v>18574.8606875631</v>
      </c>
      <c r="G214" s="11">
        <f t="shared" si="121"/>
        <v>22190.6679284074</v>
      </c>
      <c r="H214" s="11">
        <f t="shared" si="121"/>
        <v>26034.0812288145</v>
      </c>
      <c r="I214" s="11">
        <f t="shared" si="121"/>
        <v>29980.585202769</v>
      </c>
      <c r="J214" s="11">
        <f t="shared" si="121"/>
        <v>33542.6654331926</v>
      </c>
      <c r="K214" s="11">
        <f t="shared" si="121"/>
        <v>38092.7211643844</v>
      </c>
      <c r="L214" s="11">
        <f t="shared" si="121"/>
        <v>43221.0341503748</v>
      </c>
      <c r="M214" s="11">
        <f t="shared" si="121"/>
        <v>48369.3992166463</v>
      </c>
      <c r="N214" s="11">
        <f t="shared" si="121"/>
        <v>53598.903335596</v>
      </c>
      <c r="O214" s="11">
        <f t="shared" si="121"/>
        <v>59359.7865694153</v>
      </c>
      <c r="P214" s="11">
        <f t="shared" si="121"/>
        <v>65037.0361786362</v>
      </c>
      <c r="Q214" s="11">
        <f t="shared" si="121"/>
        <v>71309.2601785504</v>
      </c>
      <c r="R214" s="11">
        <f t="shared" si="121"/>
        <v>78783.766114174</v>
      </c>
      <c r="S214" s="11">
        <f t="shared" si="121"/>
        <v>85428.1682087957</v>
      </c>
      <c r="T214" s="12">
        <f t="shared" si="121"/>
        <v>91546.7160571679</v>
      </c>
      <c r="U214" s="11">
        <f t="shared" si="110"/>
        <v>98192.5520913688</v>
      </c>
      <c r="V214" s="11">
        <f t="shared" si="110"/>
        <v>104615.439529981</v>
      </c>
      <c r="W214" s="11">
        <f t="shared" si="111"/>
        <v>111908.945576008</v>
      </c>
      <c r="X214" s="11">
        <f t="shared" si="112"/>
        <v>119669.615372187</v>
      </c>
    </row>
    <row r="215" spans="1:24">
      <c r="A215" s="4" t="s">
        <v>13</v>
      </c>
      <c r="B215" s="11">
        <v>3687.95588205477</v>
      </c>
      <c r="C215" s="11">
        <f t="shared" ref="C215:T215" si="122">B215*(1-10.96%)+C115</f>
        <v>4301.15290230619</v>
      </c>
      <c r="D215" s="11">
        <f t="shared" si="122"/>
        <v>4961.21993490577</v>
      </c>
      <c r="E215" s="11">
        <f t="shared" si="122"/>
        <v>5725.80810341188</v>
      </c>
      <c r="F215" s="11">
        <f t="shared" si="122"/>
        <v>6798.09858002635</v>
      </c>
      <c r="G215" s="11">
        <f t="shared" si="122"/>
        <v>8037.50314538009</v>
      </c>
      <c r="H215" s="11">
        <f t="shared" si="122"/>
        <v>9493.54420188807</v>
      </c>
      <c r="I215" s="11">
        <f t="shared" si="122"/>
        <v>11244.3190008147</v>
      </c>
      <c r="J215" s="11">
        <f t="shared" si="122"/>
        <v>13238.3545268505</v>
      </c>
      <c r="K215" s="11">
        <f t="shared" si="122"/>
        <v>15617.7396835881</v>
      </c>
      <c r="L215" s="11">
        <f t="shared" si="122"/>
        <v>18475.3959679944</v>
      </c>
      <c r="M215" s="11">
        <f t="shared" si="122"/>
        <v>21746.7703345444</v>
      </c>
      <c r="N215" s="11">
        <f t="shared" si="122"/>
        <v>25357.4021813482</v>
      </c>
      <c r="O215" s="11">
        <f t="shared" si="122"/>
        <v>29289.5699168979</v>
      </c>
      <c r="P215" s="11">
        <f t="shared" si="122"/>
        <v>33447.2579995897</v>
      </c>
      <c r="Q215" s="11">
        <f t="shared" si="122"/>
        <v>37656.2979139186</v>
      </c>
      <c r="R215" s="11">
        <f t="shared" si="122"/>
        <v>42352.8434717987</v>
      </c>
      <c r="S215" s="11">
        <f t="shared" si="122"/>
        <v>46741.2657446418</v>
      </c>
      <c r="T215" s="12">
        <f t="shared" si="122"/>
        <v>51160.8319033388</v>
      </c>
      <c r="U215" s="11">
        <f t="shared" si="110"/>
        <v>55739.6364976676</v>
      </c>
      <c r="V215" s="11">
        <f t="shared" si="110"/>
        <v>60054.6418518878</v>
      </c>
      <c r="W215" s="11">
        <f t="shared" si="111"/>
        <v>64774.8652443806</v>
      </c>
      <c r="X215" s="11">
        <f t="shared" si="112"/>
        <v>69753.394162627</v>
      </c>
    </row>
    <row r="216" spans="1:24">
      <c r="A216" s="4" t="s">
        <v>14</v>
      </c>
      <c r="B216" s="11">
        <v>4721.83485483656</v>
      </c>
      <c r="C216" s="11">
        <f t="shared" ref="C216:T216" si="123">B216*(1-10.96%)+C116</f>
        <v>5480.63331253542</v>
      </c>
      <c r="D216" s="11">
        <f t="shared" si="123"/>
        <v>6274.63239326845</v>
      </c>
      <c r="E216" s="11">
        <f t="shared" si="123"/>
        <v>7249.74674238254</v>
      </c>
      <c r="F216" s="11">
        <f t="shared" si="123"/>
        <v>8474.66501507355</v>
      </c>
      <c r="G216" s="11">
        <f t="shared" si="123"/>
        <v>10080.6793448901</v>
      </c>
      <c r="H216" s="11">
        <f t="shared" si="123"/>
        <v>12074.2641080068</v>
      </c>
      <c r="I216" s="11">
        <f t="shared" si="123"/>
        <v>14591.3158308515</v>
      </c>
      <c r="J216" s="11">
        <f t="shared" si="123"/>
        <v>17667.2537491108</v>
      </c>
      <c r="K216" s="11">
        <f t="shared" si="123"/>
        <v>21214.2666971016</v>
      </c>
      <c r="L216" s="11">
        <f t="shared" si="123"/>
        <v>24942.0935547838</v>
      </c>
      <c r="M216" s="11">
        <f t="shared" si="123"/>
        <v>29242.4729701964</v>
      </c>
      <c r="N216" s="11">
        <f t="shared" si="123"/>
        <v>33986.7646203904</v>
      </c>
      <c r="O216" s="11">
        <f t="shared" si="123"/>
        <v>39292.1909424644</v>
      </c>
      <c r="P216" s="11">
        <f t="shared" si="123"/>
        <v>45027.1693332995</v>
      </c>
      <c r="Q216" s="11">
        <f t="shared" si="123"/>
        <v>51170.8500145356</v>
      </c>
      <c r="R216" s="11">
        <f t="shared" si="123"/>
        <v>57766.0976868485</v>
      </c>
      <c r="S216" s="11">
        <f t="shared" si="123"/>
        <v>64521.0494692423</v>
      </c>
      <c r="T216" s="12">
        <f t="shared" si="123"/>
        <v>71358.9985380642</v>
      </c>
      <c r="U216" s="11">
        <f t="shared" si="110"/>
        <v>78050.4798844985</v>
      </c>
      <c r="V216" s="11">
        <f t="shared" si="110"/>
        <v>83639.374173562</v>
      </c>
      <c r="W216" s="11">
        <f t="shared" si="111"/>
        <v>89360.1060108811</v>
      </c>
      <c r="X216" s="11">
        <f t="shared" si="112"/>
        <v>95272.0065866392</v>
      </c>
    </row>
    <row r="217" spans="1:24">
      <c r="A217" s="4" t="s">
        <v>15</v>
      </c>
      <c r="B217" s="11">
        <v>2054.9636086611</v>
      </c>
      <c r="C217" s="11">
        <f t="shared" ref="C217:T217" si="124">B217*(1-10.96%)+C117</f>
        <v>2534.18853547338</v>
      </c>
      <c r="D217" s="11">
        <f t="shared" si="124"/>
        <v>3198.60527380552</v>
      </c>
      <c r="E217" s="11">
        <f t="shared" si="124"/>
        <v>4069.77409144174</v>
      </c>
      <c r="F217" s="11">
        <f t="shared" si="124"/>
        <v>5086.99468456386</v>
      </c>
      <c r="G217" s="11">
        <f t="shared" si="124"/>
        <v>6242.65439549155</v>
      </c>
      <c r="H217" s="11">
        <f t="shared" si="124"/>
        <v>7650.33505018926</v>
      </c>
      <c r="I217" s="11">
        <f t="shared" si="124"/>
        <v>9255.6604547752</v>
      </c>
      <c r="J217" s="11">
        <f t="shared" si="124"/>
        <v>10969.4796636951</v>
      </c>
      <c r="K217" s="11">
        <f t="shared" si="124"/>
        <v>12920.4710488149</v>
      </c>
      <c r="L217" s="11">
        <f t="shared" si="124"/>
        <v>14997.8861768807</v>
      </c>
      <c r="M217" s="11">
        <f t="shared" si="124"/>
        <v>17287.688722479</v>
      </c>
      <c r="N217" s="11">
        <f t="shared" si="124"/>
        <v>19634.5059897851</v>
      </c>
      <c r="O217" s="11">
        <f t="shared" si="124"/>
        <v>22024.400938132</v>
      </c>
      <c r="P217" s="11">
        <f t="shared" si="124"/>
        <v>24216.613453156</v>
      </c>
      <c r="Q217" s="11">
        <f t="shared" si="124"/>
        <v>26894.4929713263</v>
      </c>
      <c r="R217" s="11">
        <f t="shared" si="124"/>
        <v>30194.6406649397</v>
      </c>
      <c r="S217" s="11">
        <f t="shared" si="124"/>
        <v>33236.2108321538</v>
      </c>
      <c r="T217" s="12">
        <f t="shared" si="124"/>
        <v>36224.9629079626</v>
      </c>
      <c r="U217" s="11">
        <f t="shared" si="110"/>
        <v>39326.5168707596</v>
      </c>
      <c r="V217" s="11">
        <f t="shared" si="110"/>
        <v>42474.1262446343</v>
      </c>
      <c r="W217" s="11">
        <f t="shared" si="111"/>
        <v>46008.4937725278</v>
      </c>
      <c r="X217" s="11">
        <f t="shared" si="112"/>
        <v>49685.405498231</v>
      </c>
    </row>
    <row r="218" spans="1:24">
      <c r="A218" s="4" t="s">
        <v>16</v>
      </c>
      <c r="B218" s="11">
        <v>11338.5043738823</v>
      </c>
      <c r="C218" s="11">
        <f t="shared" ref="C218:T218" si="125">B218*(1-10.96%)+C118</f>
        <v>13565.4788507178</v>
      </c>
      <c r="D218" s="11">
        <f t="shared" si="125"/>
        <v>16168.4098662844</v>
      </c>
      <c r="E218" s="11">
        <f t="shared" si="125"/>
        <v>19307.6244958516</v>
      </c>
      <c r="F218" s="11">
        <f t="shared" si="125"/>
        <v>23278.3629868118</v>
      </c>
      <c r="G218" s="11">
        <f t="shared" si="125"/>
        <v>28425.4315950345</v>
      </c>
      <c r="H218" s="11">
        <f t="shared" si="125"/>
        <v>34434.9622403537</v>
      </c>
      <c r="I218" s="11">
        <f t="shared" si="125"/>
        <v>40793.2127364165</v>
      </c>
      <c r="J218" s="11">
        <f t="shared" si="125"/>
        <v>47632.854155094</v>
      </c>
      <c r="K218" s="11">
        <f t="shared" si="125"/>
        <v>56180.3452671969</v>
      </c>
      <c r="L218" s="11">
        <f t="shared" si="125"/>
        <v>65610.2589650354</v>
      </c>
      <c r="M218" s="11">
        <f t="shared" si="125"/>
        <v>75456.4386543989</v>
      </c>
      <c r="N218" s="11">
        <f t="shared" si="125"/>
        <v>85847.7134400747</v>
      </c>
      <c r="O218" s="11">
        <f t="shared" si="125"/>
        <v>96717.8589947592</v>
      </c>
      <c r="P218" s="11">
        <f t="shared" si="125"/>
        <v>107993.31306022</v>
      </c>
      <c r="Q218" s="11">
        <f t="shared" si="125"/>
        <v>119667.497292228</v>
      </c>
      <c r="R218" s="11">
        <f t="shared" si="125"/>
        <v>130503.636853429</v>
      </c>
      <c r="S218" s="11">
        <f t="shared" si="125"/>
        <v>139618.683412137</v>
      </c>
      <c r="T218" s="12">
        <f t="shared" si="125"/>
        <v>147293.283636006</v>
      </c>
      <c r="U218" s="11">
        <f t="shared" si="110"/>
        <v>151668.139823352</v>
      </c>
      <c r="V218" s="11">
        <f t="shared" si="110"/>
        <v>155723.186481311</v>
      </c>
      <c r="W218" s="11">
        <f t="shared" si="111"/>
        <v>160314.568789949</v>
      </c>
      <c r="X218" s="11">
        <f t="shared" si="112"/>
        <v>165339.786055838</v>
      </c>
    </row>
    <row r="219" spans="1:24">
      <c r="A219" s="4" t="s">
        <v>17</v>
      </c>
      <c r="B219" s="11">
        <v>5865.62844299018</v>
      </c>
      <c r="C219" s="11">
        <f t="shared" ref="C219:T219" si="126">B219*(1-10.96%)+C119</f>
        <v>7006.38106364642</v>
      </c>
      <c r="D219" s="11">
        <f t="shared" si="126"/>
        <v>8275.5007959356</v>
      </c>
      <c r="E219" s="11">
        <f t="shared" si="126"/>
        <v>9732.64210033625</v>
      </c>
      <c r="F219" s="11">
        <f t="shared" si="126"/>
        <v>11506.6684101491</v>
      </c>
      <c r="G219" s="11">
        <f t="shared" si="126"/>
        <v>14170.0885278274</v>
      </c>
      <c r="H219" s="11">
        <f t="shared" si="126"/>
        <v>17760.9479199586</v>
      </c>
      <c r="I219" s="11">
        <f t="shared" si="126"/>
        <v>22405.1472482515</v>
      </c>
      <c r="J219" s="11">
        <f t="shared" si="126"/>
        <v>27693.8370537326</v>
      </c>
      <c r="K219" s="11">
        <f t="shared" si="126"/>
        <v>34793.2706056451</v>
      </c>
      <c r="L219" s="11">
        <f t="shared" si="126"/>
        <v>42812.2509264195</v>
      </c>
      <c r="M219" s="11">
        <f t="shared" si="126"/>
        <v>51322.4373305633</v>
      </c>
      <c r="N219" s="11">
        <f t="shared" si="126"/>
        <v>60747.8064124874</v>
      </c>
      <c r="O219" s="11">
        <f t="shared" si="126"/>
        <v>71038.2678318692</v>
      </c>
      <c r="P219" s="11">
        <f t="shared" si="126"/>
        <v>81785.9754924657</v>
      </c>
      <c r="Q219" s="11">
        <f t="shared" si="126"/>
        <v>92571.3870790056</v>
      </c>
      <c r="R219" s="11">
        <f t="shared" si="126"/>
        <v>103678.781449908</v>
      </c>
      <c r="S219" s="11">
        <f t="shared" si="126"/>
        <v>112652.826098958</v>
      </c>
      <c r="T219" s="12">
        <f t="shared" si="126"/>
        <v>121164.28837249</v>
      </c>
      <c r="U219" s="11">
        <f t="shared" si="110"/>
        <v>129713.043776842</v>
      </c>
      <c r="V219" s="11">
        <f t="shared" si="110"/>
        <v>137643.362807894</v>
      </c>
      <c r="W219" s="11">
        <f t="shared" si="111"/>
        <v>145494.694562582</v>
      </c>
      <c r="X219" s="11">
        <f t="shared" si="112"/>
        <v>153660.620164402</v>
      </c>
    </row>
    <row r="220" spans="1:24">
      <c r="A220" s="4" t="s">
        <v>18</v>
      </c>
      <c r="B220" s="11">
        <v>7112.04018394101</v>
      </c>
      <c r="C220" s="11">
        <f t="shared" ref="C220:T220" si="127">B220*(1-10.96%)+C120</f>
        <v>7941.88125910175</v>
      </c>
      <c r="D220" s="11">
        <f t="shared" si="127"/>
        <v>8772.93596096183</v>
      </c>
      <c r="E220" s="11">
        <f t="shared" si="127"/>
        <v>9629.10022101464</v>
      </c>
      <c r="F220" s="11">
        <f t="shared" si="127"/>
        <v>10700.0023292981</v>
      </c>
      <c r="G220" s="11">
        <f t="shared" si="127"/>
        <v>12035.4572012806</v>
      </c>
      <c r="H220" s="11">
        <f t="shared" si="127"/>
        <v>13840.2614272663</v>
      </c>
      <c r="I220" s="11">
        <f t="shared" si="127"/>
        <v>16012.9281824252</v>
      </c>
      <c r="J220" s="11">
        <f t="shared" si="127"/>
        <v>18400.3401652526</v>
      </c>
      <c r="K220" s="11">
        <f t="shared" si="127"/>
        <v>21547.7575640067</v>
      </c>
      <c r="L220" s="11">
        <f t="shared" si="127"/>
        <v>25302.4951708445</v>
      </c>
      <c r="M220" s="11">
        <f t="shared" si="127"/>
        <v>29896.0870871496</v>
      </c>
      <c r="N220" s="11">
        <f t="shared" si="127"/>
        <v>34857.6254622766</v>
      </c>
      <c r="O220" s="11">
        <f t="shared" si="127"/>
        <v>40346.6964998394</v>
      </c>
      <c r="P220" s="11">
        <f t="shared" si="127"/>
        <v>46313.1698002276</v>
      </c>
      <c r="Q220" s="11">
        <f t="shared" si="127"/>
        <v>52578.0247690158</v>
      </c>
      <c r="R220" s="11">
        <f t="shared" si="127"/>
        <v>59333.8167677972</v>
      </c>
      <c r="S220" s="11">
        <f t="shared" si="127"/>
        <v>65973.7004733533</v>
      </c>
      <c r="T220" s="12">
        <f t="shared" si="127"/>
        <v>72428.3353647669</v>
      </c>
      <c r="U220" s="11">
        <f t="shared" si="110"/>
        <v>79057.1947865437</v>
      </c>
      <c r="V220" s="11">
        <f t="shared" si="110"/>
        <v>81909.963474489</v>
      </c>
      <c r="W220" s="11">
        <f t="shared" si="111"/>
        <v>86758.1493568542</v>
      </c>
      <c r="X220" s="11">
        <f t="shared" si="112"/>
        <v>92821.7828876805</v>
      </c>
    </row>
    <row r="221" spans="1:24">
      <c r="A221" s="4" t="s">
        <v>19</v>
      </c>
      <c r="B221" s="11">
        <v>4617.89967924185</v>
      </c>
      <c r="C221" s="11">
        <f t="shared" ref="C221:T221" si="128">B221*(1-10.96%)+C121</f>
        <v>5329.12239562103</v>
      </c>
      <c r="D221" s="11">
        <f t="shared" si="128"/>
        <v>6104.14211199629</v>
      </c>
      <c r="E221" s="11">
        <f t="shared" si="128"/>
        <v>6979.54019095783</v>
      </c>
      <c r="F221" s="11">
        <f t="shared" si="128"/>
        <v>8009.88821929809</v>
      </c>
      <c r="G221" s="11">
        <f t="shared" si="128"/>
        <v>9339.7566216835</v>
      </c>
      <c r="H221" s="11">
        <f t="shared" si="128"/>
        <v>11000.2188706548</v>
      </c>
      <c r="I221" s="11">
        <f t="shared" si="128"/>
        <v>13163.3050075305</v>
      </c>
      <c r="J221" s="11">
        <f t="shared" si="128"/>
        <v>15791.8118205522</v>
      </c>
      <c r="K221" s="11">
        <f t="shared" si="128"/>
        <v>18947.1538148531</v>
      </c>
      <c r="L221" s="11">
        <f t="shared" si="128"/>
        <v>22909.0900286845</v>
      </c>
      <c r="M221" s="11">
        <f t="shared" si="128"/>
        <v>27292.408370407</v>
      </c>
      <c r="N221" s="11">
        <f t="shared" si="128"/>
        <v>32051.8573728848</v>
      </c>
      <c r="O221" s="11">
        <f t="shared" si="128"/>
        <v>37200.4443115433</v>
      </c>
      <c r="P221" s="11">
        <f t="shared" si="128"/>
        <v>42641.1340022815</v>
      </c>
      <c r="Q221" s="11">
        <f t="shared" si="128"/>
        <v>47413.3656429133</v>
      </c>
      <c r="R221" s="11">
        <f t="shared" si="128"/>
        <v>52493.3021130349</v>
      </c>
      <c r="S221" s="11">
        <f t="shared" si="128"/>
        <v>56864.8085097207</v>
      </c>
      <c r="T221" s="12">
        <f t="shared" si="128"/>
        <v>61259.5720038318</v>
      </c>
      <c r="U221" s="11">
        <f t="shared" si="110"/>
        <v>66050.4278325275</v>
      </c>
      <c r="V221" s="11">
        <f t="shared" si="110"/>
        <v>70912.2566549462</v>
      </c>
      <c r="W221" s="11">
        <f t="shared" si="111"/>
        <v>76144.2854349103</v>
      </c>
      <c r="X221" s="11">
        <f t="shared" si="112"/>
        <v>81416.0396378482</v>
      </c>
    </row>
    <row r="222" spans="1:24">
      <c r="A222" s="4" t="s">
        <v>20</v>
      </c>
      <c r="B222" s="11">
        <v>12360.5232663019</v>
      </c>
      <c r="C222" s="11">
        <f t="shared" ref="C222:T222" si="129">B222*(1-10.96%)+C122</f>
        <v>14446.4486388701</v>
      </c>
      <c r="D222" s="11">
        <f t="shared" si="129"/>
        <v>16890.8998166903</v>
      </c>
      <c r="E222" s="11">
        <f t="shared" si="129"/>
        <v>19923.7584695891</v>
      </c>
      <c r="F222" s="11">
        <f t="shared" si="129"/>
        <v>23224.5873820596</v>
      </c>
      <c r="G222" s="11">
        <f t="shared" si="129"/>
        <v>27400.4401448315</v>
      </c>
      <c r="H222" s="11">
        <f t="shared" si="129"/>
        <v>32035.9607837475</v>
      </c>
      <c r="I222" s="11">
        <f t="shared" si="129"/>
        <v>37279.8087081384</v>
      </c>
      <c r="J222" s="11">
        <f t="shared" si="129"/>
        <v>42475.1932601464</v>
      </c>
      <c r="K222" s="11">
        <f t="shared" si="129"/>
        <v>49554.5720310744</v>
      </c>
      <c r="L222" s="11">
        <f t="shared" si="129"/>
        <v>57538.9695308762</v>
      </c>
      <c r="M222" s="11">
        <f t="shared" si="129"/>
        <v>66195.4214367533</v>
      </c>
      <c r="N222" s="11">
        <f t="shared" si="129"/>
        <v>75655.1281259945</v>
      </c>
      <c r="O222" s="11">
        <f t="shared" si="129"/>
        <v>86064.6371155893</v>
      </c>
      <c r="P222" s="11">
        <f t="shared" si="129"/>
        <v>97218.7587289576</v>
      </c>
      <c r="Q222" s="11">
        <f t="shared" si="129"/>
        <v>108340.813218135</v>
      </c>
      <c r="R222" s="11">
        <f t="shared" si="129"/>
        <v>121169.566935423</v>
      </c>
      <c r="S222" s="11">
        <f t="shared" si="129"/>
        <v>134951.929345932</v>
      </c>
      <c r="T222" s="12">
        <f t="shared" si="129"/>
        <v>148370.462927209</v>
      </c>
      <c r="U222" s="11">
        <f t="shared" si="110"/>
        <v>162186.3091892</v>
      </c>
      <c r="V222" s="11">
        <f t="shared" si="110"/>
        <v>175836.431346047</v>
      </c>
      <c r="W222" s="11">
        <f t="shared" si="111"/>
        <v>189705.198319285</v>
      </c>
      <c r="X222" s="11">
        <f t="shared" si="112"/>
        <v>200497.45027889</v>
      </c>
    </row>
    <row r="223" spans="1:24">
      <c r="A223" s="4" t="s">
        <v>21</v>
      </c>
      <c r="B223" s="11">
        <v>2399.76138829102</v>
      </c>
      <c r="C223" s="11">
        <f t="shared" ref="C223:T223" si="130">B223*(1-10.96%)+C123</f>
        <v>2857.88479503628</v>
      </c>
      <c r="D223" s="11">
        <f t="shared" si="130"/>
        <v>3368.38552522052</v>
      </c>
      <c r="E223" s="11">
        <f t="shared" si="130"/>
        <v>3950.46702980655</v>
      </c>
      <c r="F223" s="11">
        <f t="shared" si="130"/>
        <v>4707.66502987196</v>
      </c>
      <c r="G223" s="11">
        <f t="shared" si="130"/>
        <v>5775.82197419316</v>
      </c>
      <c r="H223" s="11">
        <f t="shared" si="130"/>
        <v>7058.65138857946</v>
      </c>
      <c r="I223" s="11">
        <f t="shared" si="130"/>
        <v>8726.40711140809</v>
      </c>
      <c r="J223" s="11">
        <f t="shared" si="130"/>
        <v>10819.3162478959</v>
      </c>
      <c r="K223" s="11">
        <f t="shared" si="130"/>
        <v>14213.8823992832</v>
      </c>
      <c r="L223" s="11">
        <f t="shared" si="130"/>
        <v>18913.1031906221</v>
      </c>
      <c r="M223" s="11">
        <f t="shared" si="130"/>
        <v>24215.4199700209</v>
      </c>
      <c r="N223" s="11">
        <f t="shared" si="130"/>
        <v>29495.6407592402</v>
      </c>
      <c r="O223" s="11">
        <f t="shared" si="130"/>
        <v>33571.7102406462</v>
      </c>
      <c r="P223" s="11">
        <f t="shared" si="130"/>
        <v>37631.392850674</v>
      </c>
      <c r="Q223" s="11">
        <f t="shared" si="130"/>
        <v>41940.231907823</v>
      </c>
      <c r="R223" s="11">
        <f t="shared" si="130"/>
        <v>46458.303551541</v>
      </c>
      <c r="S223" s="11">
        <f t="shared" si="130"/>
        <v>47877.6460903545</v>
      </c>
      <c r="T223" s="12">
        <f t="shared" si="130"/>
        <v>49533.9682795532</v>
      </c>
      <c r="U223" s="11">
        <f t="shared" si="110"/>
        <v>51494.1748209275</v>
      </c>
      <c r="V223" s="11">
        <f t="shared" si="110"/>
        <v>53340.1728931759</v>
      </c>
      <c r="W223" s="11">
        <f t="shared" si="111"/>
        <v>55481.1874313994</v>
      </c>
      <c r="X223" s="11">
        <f t="shared" si="112"/>
        <v>57246.4596763596</v>
      </c>
    </row>
    <row r="224" spans="1:24">
      <c r="A224" s="4" t="s">
        <v>22</v>
      </c>
      <c r="B224" s="11">
        <v>908.323076564205</v>
      </c>
      <c r="C224" s="11">
        <f t="shared" ref="C224:T224" si="131">B224*(1-10.96%)+C124</f>
        <v>1016.32819538872</v>
      </c>
      <c r="D224" s="11">
        <f t="shared" si="131"/>
        <v>1135.91575488478</v>
      </c>
      <c r="E224" s="11">
        <f t="shared" si="131"/>
        <v>1272.66811800147</v>
      </c>
      <c r="F224" s="11">
        <f t="shared" si="131"/>
        <v>1422.96753647865</v>
      </c>
      <c r="G224" s="11">
        <f t="shared" si="131"/>
        <v>1612.76325607518</v>
      </c>
      <c r="H224" s="11">
        <f t="shared" si="131"/>
        <v>1842.07312100504</v>
      </c>
      <c r="I224" s="11">
        <f t="shared" si="131"/>
        <v>2114.70437101278</v>
      </c>
      <c r="J224" s="11">
        <f t="shared" si="131"/>
        <v>2468.20487579249</v>
      </c>
      <c r="K224" s="11">
        <f t="shared" si="131"/>
        <v>2874.35487861303</v>
      </c>
      <c r="L224" s="11">
        <f t="shared" si="131"/>
        <v>3429.35287130724</v>
      </c>
      <c r="M224" s="11">
        <f t="shared" si="131"/>
        <v>4066.09479290616</v>
      </c>
      <c r="N224" s="11">
        <f t="shared" si="131"/>
        <v>4944.50160736154</v>
      </c>
      <c r="O224" s="11">
        <f t="shared" si="131"/>
        <v>5931.4649751376</v>
      </c>
      <c r="P224" s="11">
        <f t="shared" si="131"/>
        <v>7016.0729363813</v>
      </c>
      <c r="Q224" s="11">
        <f t="shared" si="131"/>
        <v>7838.79383245153</v>
      </c>
      <c r="R224" s="11">
        <f t="shared" si="131"/>
        <v>8702.38522328077</v>
      </c>
      <c r="S224" s="11">
        <f t="shared" si="131"/>
        <v>9593.64185307012</v>
      </c>
      <c r="T224" s="12">
        <f t="shared" si="131"/>
        <v>10062.3371748798</v>
      </c>
      <c r="U224" s="11">
        <f t="shared" si="110"/>
        <v>10295.7140135108</v>
      </c>
      <c r="V224" s="11">
        <f t="shared" si="110"/>
        <v>10577.9642780969</v>
      </c>
      <c r="W224" s="11">
        <f t="shared" si="111"/>
        <v>10968.5175921752</v>
      </c>
      <c r="X224" s="11">
        <f t="shared" si="112"/>
        <v>11227.7878225388</v>
      </c>
    </row>
    <row r="225" spans="1:24">
      <c r="A225" s="4" t="s">
        <v>23</v>
      </c>
      <c r="B225" s="11">
        <v>2297.18120091045</v>
      </c>
      <c r="C225" s="11">
        <f t="shared" ref="C225:T225" si="132">B225*(1-10.96%)+C125</f>
        <v>2791.10458573511</v>
      </c>
      <c r="D225" s="11">
        <f t="shared" si="132"/>
        <v>3390.4894775844</v>
      </c>
      <c r="E225" s="11">
        <f t="shared" si="132"/>
        <v>4187.49749827572</v>
      </c>
      <c r="F225" s="11">
        <f t="shared" si="132"/>
        <v>5109.18432953573</v>
      </c>
      <c r="G225" s="11">
        <f t="shared" si="132"/>
        <v>6207.84013950778</v>
      </c>
      <c r="H225" s="11">
        <f t="shared" si="132"/>
        <v>7399.62380501635</v>
      </c>
      <c r="I225" s="11">
        <f t="shared" si="132"/>
        <v>8711.47661286883</v>
      </c>
      <c r="J225" s="11">
        <f t="shared" si="132"/>
        <v>10061.1476642387</v>
      </c>
      <c r="K225" s="11">
        <f t="shared" si="132"/>
        <v>11756.2293969922</v>
      </c>
      <c r="L225" s="11">
        <f t="shared" si="132"/>
        <v>13770.661669563</v>
      </c>
      <c r="M225" s="11">
        <f t="shared" si="132"/>
        <v>16186.490885809</v>
      </c>
      <c r="N225" s="11">
        <f t="shared" si="132"/>
        <v>18638.8704845342</v>
      </c>
      <c r="O225" s="11">
        <f t="shared" si="132"/>
        <v>21223.0431127426</v>
      </c>
      <c r="P225" s="11">
        <f t="shared" si="132"/>
        <v>24019.6821102415</v>
      </c>
      <c r="Q225" s="11">
        <f t="shared" si="132"/>
        <v>27071.2959930481</v>
      </c>
      <c r="R225" s="11">
        <f t="shared" si="132"/>
        <v>30618.0094894727</v>
      </c>
      <c r="S225" s="11">
        <f t="shared" si="132"/>
        <v>33985.9392416733</v>
      </c>
      <c r="T225" s="12">
        <f t="shared" si="132"/>
        <v>37112.8136757422</v>
      </c>
      <c r="U225" s="11">
        <f t="shared" si="110"/>
        <v>39936.1354339798</v>
      </c>
      <c r="V225" s="11">
        <f t="shared" si="110"/>
        <v>42557.7964727673</v>
      </c>
      <c r="W225" s="11">
        <f t="shared" si="111"/>
        <v>45296.8317029563</v>
      </c>
      <c r="X225" s="11">
        <f t="shared" si="112"/>
        <v>47634.1533182139</v>
      </c>
    </row>
    <row r="226" spans="1:24">
      <c r="A226" s="4" t="s">
        <v>24</v>
      </c>
      <c r="B226" s="11">
        <v>6086.47437373858</v>
      </c>
      <c r="C226" s="11">
        <f t="shared" ref="C226:T226" si="133">B226*(1-10.96%)+C126</f>
        <v>6967.07165922412</v>
      </c>
      <c r="D226" s="11">
        <f t="shared" si="133"/>
        <v>7969.09587875992</v>
      </c>
      <c r="E226" s="11">
        <f t="shared" si="133"/>
        <v>9153.27121136466</v>
      </c>
      <c r="F226" s="11">
        <f t="shared" si="133"/>
        <v>10473.6957484822</v>
      </c>
      <c r="G226" s="11">
        <f t="shared" si="133"/>
        <v>12074.5992775228</v>
      </c>
      <c r="H226" s="11">
        <f t="shared" si="133"/>
        <v>14145.1261147025</v>
      </c>
      <c r="I226" s="11">
        <f t="shared" si="133"/>
        <v>16655.2087084966</v>
      </c>
      <c r="J226" s="11">
        <f t="shared" si="133"/>
        <v>19360.7023065544</v>
      </c>
      <c r="K226" s="11">
        <f t="shared" si="133"/>
        <v>22654.3542612315</v>
      </c>
      <c r="L226" s="11">
        <f t="shared" si="133"/>
        <v>26479.0802257314</v>
      </c>
      <c r="M226" s="11">
        <f t="shared" si="133"/>
        <v>30770.6844906112</v>
      </c>
      <c r="N226" s="11">
        <f t="shared" si="133"/>
        <v>35456.6408904692</v>
      </c>
      <c r="O226" s="11">
        <f t="shared" si="133"/>
        <v>40250.8303225099</v>
      </c>
      <c r="P226" s="11">
        <f t="shared" si="133"/>
        <v>45076.4497901587</v>
      </c>
      <c r="Q226" s="11">
        <f t="shared" si="133"/>
        <v>49857.7804966984</v>
      </c>
      <c r="R226" s="11">
        <f t="shared" si="133"/>
        <v>55070.5792988659</v>
      </c>
      <c r="S226" s="11">
        <f t="shared" si="133"/>
        <v>60133.8486967863</v>
      </c>
      <c r="T226" s="12">
        <f t="shared" si="133"/>
        <v>65038.5768004473</v>
      </c>
      <c r="U226" s="11">
        <f t="shared" si="110"/>
        <v>70197.7524662089</v>
      </c>
      <c r="V226" s="11">
        <f t="shared" si="110"/>
        <v>74743.8568833321</v>
      </c>
      <c r="W226" s="11">
        <f t="shared" si="111"/>
        <v>79475.0856969125</v>
      </c>
      <c r="X226" s="11">
        <f t="shared" si="112"/>
        <v>84194.5622453869</v>
      </c>
    </row>
    <row r="227" spans="1:24">
      <c r="A227" s="4" t="s">
        <v>25</v>
      </c>
      <c r="B227" s="11">
        <v>2212.78001345863</v>
      </c>
      <c r="C227" s="11">
        <f t="shared" ref="C227:T227" si="134">B227*(1-10.96%)+C127</f>
        <v>2543.85494151344</v>
      </c>
      <c r="D227" s="11">
        <f t="shared" si="134"/>
        <v>2924.97360950473</v>
      </c>
      <c r="E227" s="11">
        <f t="shared" si="134"/>
        <v>3351.38464795243</v>
      </c>
      <c r="F227" s="11">
        <f t="shared" si="134"/>
        <v>3791.29844420877</v>
      </c>
      <c r="G227" s="11">
        <f t="shared" si="134"/>
        <v>4286.20473914289</v>
      </c>
      <c r="H227" s="11">
        <f t="shared" si="134"/>
        <v>4859.03068521883</v>
      </c>
      <c r="I227" s="11">
        <f t="shared" si="134"/>
        <v>5516.75683142394</v>
      </c>
      <c r="J227" s="11">
        <f t="shared" si="134"/>
        <v>6268.44047418656</v>
      </c>
      <c r="K227" s="11">
        <f t="shared" si="134"/>
        <v>7214.12520509712</v>
      </c>
      <c r="L227" s="11">
        <f t="shared" si="134"/>
        <v>8373.27831156746</v>
      </c>
      <c r="M227" s="11">
        <f t="shared" si="134"/>
        <v>9774.95394590783</v>
      </c>
      <c r="N227" s="11">
        <f t="shared" si="134"/>
        <v>11656.5199516082</v>
      </c>
      <c r="O227" s="11">
        <f t="shared" si="134"/>
        <v>14078.6672907261</v>
      </c>
      <c r="P227" s="11">
        <f t="shared" si="134"/>
        <v>16755.2467150405</v>
      </c>
      <c r="Q227" s="11">
        <f t="shared" si="134"/>
        <v>19919.5564368425</v>
      </c>
      <c r="R227" s="11">
        <f t="shared" si="134"/>
        <v>23586.8326523429</v>
      </c>
      <c r="S227" s="11">
        <f t="shared" si="134"/>
        <v>27283.4690962843</v>
      </c>
      <c r="T227" s="12">
        <f t="shared" si="134"/>
        <v>31207.9065149427</v>
      </c>
      <c r="U227" s="11">
        <f t="shared" si="110"/>
        <v>34607.5961899331</v>
      </c>
      <c r="V227" s="11">
        <f t="shared" si="110"/>
        <v>37674.5633632639</v>
      </c>
      <c r="W227" s="11">
        <f t="shared" si="111"/>
        <v>40186.0915229052</v>
      </c>
      <c r="X227" s="11">
        <f t="shared" si="112"/>
        <v>41984.4386368158</v>
      </c>
    </row>
    <row r="228" spans="1:24">
      <c r="A228" s="4" t="s">
        <v>26</v>
      </c>
      <c r="B228" s="11">
        <v>3141.40829953451</v>
      </c>
      <c r="C228" s="11">
        <f t="shared" ref="C228:T228" si="135">B228*(1-10.96%)+C128</f>
        <v>3559.68420733127</v>
      </c>
      <c r="D228" s="11">
        <f t="shared" si="135"/>
        <v>4021.69133305925</v>
      </c>
      <c r="E228" s="11">
        <f t="shared" si="135"/>
        <v>4616.07119687895</v>
      </c>
      <c r="F228" s="11">
        <f t="shared" si="135"/>
        <v>5323.6256748834</v>
      </c>
      <c r="G228" s="11">
        <f t="shared" si="135"/>
        <v>6081.60139422683</v>
      </c>
      <c r="H228" s="11">
        <f t="shared" si="135"/>
        <v>6927.92863158494</v>
      </c>
      <c r="I228" s="11">
        <f t="shared" si="135"/>
        <v>7836.94284148208</v>
      </c>
      <c r="J228" s="11">
        <f t="shared" si="135"/>
        <v>8710.9793481393</v>
      </c>
      <c r="K228" s="11">
        <f t="shared" si="135"/>
        <v>10443.7761602318</v>
      </c>
      <c r="L228" s="11">
        <f t="shared" si="135"/>
        <v>13194.1157774414</v>
      </c>
      <c r="M228" s="11">
        <f t="shared" si="135"/>
        <v>16518.2654983303</v>
      </c>
      <c r="N228" s="11">
        <f t="shared" si="135"/>
        <v>20307.8088572054</v>
      </c>
      <c r="O228" s="11">
        <f t="shared" si="135"/>
        <v>24569.831220309</v>
      </c>
      <c r="P228" s="11">
        <f t="shared" si="135"/>
        <v>29409.6139789882</v>
      </c>
      <c r="Q228" s="11">
        <f t="shared" si="135"/>
        <v>34595.7736638467</v>
      </c>
      <c r="R228" s="11">
        <f t="shared" si="135"/>
        <v>40068.1980409095</v>
      </c>
      <c r="S228" s="11">
        <f t="shared" si="135"/>
        <v>45505.4315914133</v>
      </c>
      <c r="T228" s="12">
        <f t="shared" si="135"/>
        <v>50974.5073950563</v>
      </c>
      <c r="U228" s="11">
        <f t="shared" si="110"/>
        <v>56477.8980121994</v>
      </c>
      <c r="V228" s="11">
        <f t="shared" si="110"/>
        <v>61817.0147606895</v>
      </c>
      <c r="W228" s="11">
        <f t="shared" si="111"/>
        <v>67008.1954373813</v>
      </c>
      <c r="X228" s="11">
        <f t="shared" si="112"/>
        <v>72325.317597905</v>
      </c>
    </row>
    <row r="229" spans="1:24">
      <c r="A229" s="4" t="s">
        <v>27</v>
      </c>
      <c r="B229" s="11">
        <v>3170.43613011252</v>
      </c>
      <c r="C229" s="11">
        <f t="shared" ref="C229:T229" si="136">B229*(1-10.96%)+C129</f>
        <v>3679.32698662284</v>
      </c>
      <c r="D229" s="11">
        <f t="shared" si="136"/>
        <v>4238.39010826516</v>
      </c>
      <c r="E229" s="11">
        <f t="shared" si="136"/>
        <v>4920.15274085503</v>
      </c>
      <c r="F229" s="11">
        <f t="shared" si="136"/>
        <v>5691.01175183743</v>
      </c>
      <c r="G229" s="11">
        <f t="shared" si="136"/>
        <v>6730.03989787666</v>
      </c>
      <c r="H229" s="11">
        <f t="shared" si="136"/>
        <v>8026.29336887732</v>
      </c>
      <c r="I229" s="11">
        <f t="shared" si="136"/>
        <v>9793.40750041027</v>
      </c>
      <c r="J229" s="11">
        <f t="shared" si="136"/>
        <v>11954.0290768215</v>
      </c>
      <c r="K229" s="11">
        <f t="shared" si="136"/>
        <v>14544.3083234853</v>
      </c>
      <c r="L229" s="11">
        <f t="shared" si="136"/>
        <v>17844.7462790951</v>
      </c>
      <c r="M229" s="11">
        <f t="shared" si="136"/>
        <v>21413.783785112</v>
      </c>
      <c r="N229" s="11">
        <f t="shared" si="136"/>
        <v>25444.3854878662</v>
      </c>
      <c r="O229" s="11">
        <f t="shared" si="136"/>
        <v>29603.9040637421</v>
      </c>
      <c r="P229" s="11">
        <f t="shared" si="136"/>
        <v>33872.2296099374</v>
      </c>
      <c r="Q229" s="11">
        <f t="shared" si="136"/>
        <v>37685.9527985098</v>
      </c>
      <c r="R229" s="11">
        <f t="shared" si="136"/>
        <v>41684.8167080864</v>
      </c>
      <c r="S229" s="11">
        <f t="shared" si="136"/>
        <v>45792.7593036389</v>
      </c>
      <c r="T229" s="12">
        <f t="shared" si="136"/>
        <v>49862.0747354417</v>
      </c>
      <c r="U229" s="11">
        <f t="shared" si="110"/>
        <v>53476.5352993775</v>
      </c>
      <c r="V229" s="11">
        <f t="shared" si="110"/>
        <v>56836.5773301684</v>
      </c>
      <c r="W229" s="11">
        <f t="shared" si="111"/>
        <v>59419.5428297718</v>
      </c>
      <c r="X229" s="11">
        <f t="shared" si="112"/>
        <v>62237.2755089529</v>
      </c>
    </row>
    <row r="230" spans="1:24">
      <c r="A230" s="4" t="s">
        <v>28</v>
      </c>
      <c r="B230" s="11">
        <v>1691.09050005678</v>
      </c>
      <c r="C230" s="11">
        <f t="shared" ref="C230:T230" si="137">B230*(1-10.96%)+C130</f>
        <v>1959.7960008584</v>
      </c>
      <c r="D230" s="11">
        <f t="shared" si="137"/>
        <v>2268.22062850799</v>
      </c>
      <c r="E230" s="11">
        <f t="shared" si="137"/>
        <v>2613.82345245982</v>
      </c>
      <c r="F230" s="11">
        <f t="shared" si="137"/>
        <v>3016.78126160141</v>
      </c>
      <c r="G230" s="11">
        <f t="shared" si="137"/>
        <v>3466.47067095449</v>
      </c>
      <c r="H230" s="11">
        <f t="shared" si="137"/>
        <v>3967.5075979697</v>
      </c>
      <c r="I230" s="11">
        <f t="shared" si="137"/>
        <v>4551.54385403363</v>
      </c>
      <c r="J230" s="11">
        <f t="shared" si="137"/>
        <v>5219.76231622554</v>
      </c>
      <c r="K230" s="11">
        <f t="shared" si="137"/>
        <v>6024.51671015046</v>
      </c>
      <c r="L230" s="11">
        <f t="shared" si="137"/>
        <v>6984.28215948297</v>
      </c>
      <c r="M230" s="11">
        <f t="shared" si="137"/>
        <v>8126.95989103462</v>
      </c>
      <c r="N230" s="11">
        <f t="shared" si="137"/>
        <v>9413.36256783027</v>
      </c>
      <c r="O230" s="11">
        <f t="shared" si="137"/>
        <v>10910.8251760992</v>
      </c>
      <c r="P230" s="11">
        <f t="shared" si="137"/>
        <v>12565.3885548266</v>
      </c>
      <c r="Q230" s="11">
        <f t="shared" si="137"/>
        <v>14315.1613426041</v>
      </c>
      <c r="R230" s="11">
        <f t="shared" si="137"/>
        <v>16260.2616933555</v>
      </c>
      <c r="S230" s="11">
        <f t="shared" si="137"/>
        <v>16889.910090312</v>
      </c>
      <c r="T230" s="12">
        <f t="shared" si="137"/>
        <v>17254.56363895</v>
      </c>
      <c r="U230" s="11">
        <f t="shared" si="110"/>
        <v>17665.6366438244</v>
      </c>
      <c r="V230" s="11">
        <f t="shared" si="110"/>
        <v>18162.5639340535</v>
      </c>
      <c r="W230" s="11">
        <f t="shared" si="111"/>
        <v>18850.9886164371</v>
      </c>
      <c r="X230" s="11">
        <f t="shared" si="112"/>
        <v>19679.5472515152</v>
      </c>
    </row>
    <row r="231" spans="1:24">
      <c r="A231" s="4" t="s">
        <v>29</v>
      </c>
      <c r="B231" s="11">
        <v>744.699912882014</v>
      </c>
      <c r="C231" s="11">
        <f t="shared" ref="C231:T231" si="138">B231*(1-10.96%)+C131</f>
        <v>864.646106517882</v>
      </c>
      <c r="D231" s="11">
        <f t="shared" si="138"/>
        <v>1005.60782098742</v>
      </c>
      <c r="E231" s="11">
        <f t="shared" si="138"/>
        <v>1162.6602580935</v>
      </c>
      <c r="F231" s="11">
        <f t="shared" si="138"/>
        <v>1325.39441346377</v>
      </c>
      <c r="G231" s="11">
        <f t="shared" si="138"/>
        <v>1508.67792681563</v>
      </c>
      <c r="H231" s="11">
        <f t="shared" si="138"/>
        <v>1706.12087403375</v>
      </c>
      <c r="I231" s="11">
        <f t="shared" si="138"/>
        <v>1925.44495955175</v>
      </c>
      <c r="J231" s="11">
        <f t="shared" si="138"/>
        <v>2160.77889912538</v>
      </c>
      <c r="K231" s="11">
        <f t="shared" si="138"/>
        <v>2524.57051886498</v>
      </c>
      <c r="L231" s="11">
        <f t="shared" si="138"/>
        <v>3020.93200287923</v>
      </c>
      <c r="M231" s="11">
        <f t="shared" si="138"/>
        <v>3629.82329341728</v>
      </c>
      <c r="N231" s="11">
        <f t="shared" si="138"/>
        <v>4504.76772052772</v>
      </c>
      <c r="O231" s="11">
        <f t="shared" si="138"/>
        <v>5610.67727701881</v>
      </c>
      <c r="P231" s="11">
        <f t="shared" si="138"/>
        <v>6932.00882227071</v>
      </c>
      <c r="Q231" s="11">
        <f t="shared" si="138"/>
        <v>8377.732104506</v>
      </c>
      <c r="R231" s="11">
        <f t="shared" si="138"/>
        <v>9840.28412792189</v>
      </c>
      <c r="S231" s="11">
        <f t="shared" si="138"/>
        <v>11237.158645728</v>
      </c>
      <c r="T231" s="12">
        <f t="shared" si="138"/>
        <v>12552.1352271656</v>
      </c>
      <c r="U231" s="11">
        <f t="shared" si="110"/>
        <v>13785.1018184243</v>
      </c>
      <c r="V231" s="11">
        <f t="shared" si="110"/>
        <v>14506.6343642643</v>
      </c>
      <c r="W231" s="11">
        <f t="shared" si="111"/>
        <v>15056.5302326994</v>
      </c>
      <c r="X231" s="11">
        <f t="shared" si="112"/>
        <v>15337.1904246221</v>
      </c>
    </row>
    <row r="232" spans="1:24">
      <c r="A232" s="4" t="s">
        <v>30</v>
      </c>
      <c r="B232" s="11">
        <v>597.389842774239</v>
      </c>
      <c r="C232" s="11">
        <f t="shared" ref="C232:T232" si="139">B232*(1-10.96%)+C132</f>
        <v>724.832172163818</v>
      </c>
      <c r="D232" s="11">
        <f t="shared" si="139"/>
        <v>871.228420326861</v>
      </c>
      <c r="E232" s="11">
        <f t="shared" si="139"/>
        <v>1080.07032164179</v>
      </c>
      <c r="F232" s="11">
        <f t="shared" si="139"/>
        <v>1307.8864627421</v>
      </c>
      <c r="G232" s="11">
        <f t="shared" si="139"/>
        <v>1583.88975044758</v>
      </c>
      <c r="H232" s="11">
        <f t="shared" si="139"/>
        <v>1916.79169190737</v>
      </c>
      <c r="I232" s="11">
        <f t="shared" si="139"/>
        <v>2263.79351350104</v>
      </c>
      <c r="J232" s="11">
        <f t="shared" si="139"/>
        <v>2719.578897163</v>
      </c>
      <c r="K232" s="11">
        <f t="shared" si="139"/>
        <v>3348.53680936453</v>
      </c>
      <c r="L232" s="11">
        <f t="shared" si="139"/>
        <v>4099.81870374668</v>
      </c>
      <c r="M232" s="11">
        <f t="shared" si="139"/>
        <v>4804.7045592257</v>
      </c>
      <c r="N232" s="11">
        <f t="shared" si="139"/>
        <v>5631.25954427712</v>
      </c>
      <c r="O232" s="11">
        <f t="shared" si="139"/>
        <v>6546.24383393975</v>
      </c>
      <c r="P232" s="11">
        <f t="shared" si="139"/>
        <v>7871.67946521298</v>
      </c>
      <c r="Q232" s="11">
        <f t="shared" si="139"/>
        <v>9475.33155474554</v>
      </c>
      <c r="R232" s="11">
        <f t="shared" si="139"/>
        <v>11082.2794238655</v>
      </c>
      <c r="S232" s="11">
        <f t="shared" si="139"/>
        <v>12417.9675469623</v>
      </c>
      <c r="T232" s="12">
        <f t="shared" si="139"/>
        <v>13072.562424999</v>
      </c>
      <c r="U232" s="11">
        <f t="shared" si="110"/>
        <v>13412.3555603777</v>
      </c>
      <c r="V232" s="11">
        <f t="shared" si="110"/>
        <v>13758.5661360293</v>
      </c>
      <c r="W232" s="11">
        <f t="shared" si="111"/>
        <v>14081.1610641087</v>
      </c>
      <c r="X232" s="11">
        <f t="shared" si="112"/>
        <v>14509.7604564484</v>
      </c>
    </row>
    <row r="233" spans="1:24">
      <c r="A233" s="4" t="s">
        <v>31</v>
      </c>
      <c r="B233" s="11">
        <v>2872.07281425793</v>
      </c>
      <c r="C233" s="11">
        <f t="shared" ref="C233:T233" si="140">B233*(1-10.96%)+C133</f>
        <v>3259.84973137624</v>
      </c>
      <c r="D233" s="11">
        <f t="shared" si="140"/>
        <v>3736.7068056565</v>
      </c>
      <c r="E233" s="11">
        <f t="shared" si="140"/>
        <v>4343.42625647431</v>
      </c>
      <c r="F233" s="11">
        <f t="shared" si="140"/>
        <v>4984.29657330508</v>
      </c>
      <c r="G233" s="11">
        <f t="shared" si="140"/>
        <v>5651.45709016478</v>
      </c>
      <c r="H233" s="11">
        <f t="shared" si="140"/>
        <v>6401.05912179208</v>
      </c>
      <c r="I233" s="11">
        <f t="shared" si="140"/>
        <v>7248.29726685661</v>
      </c>
      <c r="J233" s="11">
        <f t="shared" si="140"/>
        <v>8142.46728387461</v>
      </c>
      <c r="K233" s="11">
        <f t="shared" si="140"/>
        <v>9114.55323830697</v>
      </c>
      <c r="L233" s="11">
        <f t="shared" si="140"/>
        <v>10445.6749827695</v>
      </c>
      <c r="M233" s="11">
        <f t="shared" si="140"/>
        <v>11958.1737052997</v>
      </c>
      <c r="N233" s="11">
        <f t="shared" si="140"/>
        <v>14311.665170111</v>
      </c>
      <c r="O233" s="11">
        <f t="shared" si="140"/>
        <v>17364.8222303591</v>
      </c>
      <c r="P233" s="11">
        <f t="shared" si="140"/>
        <v>20970.5136405639</v>
      </c>
      <c r="Q233" s="11">
        <f t="shared" si="140"/>
        <v>24582.9747875991</v>
      </c>
      <c r="R233" s="11">
        <f t="shared" si="140"/>
        <v>27737.4524608152</v>
      </c>
      <c r="S233" s="11">
        <f t="shared" si="140"/>
        <v>31680.4216199168</v>
      </c>
      <c r="T233" s="12">
        <f t="shared" si="140"/>
        <v>33245.1610783658</v>
      </c>
      <c r="U233" s="11">
        <f t="shared" si="110"/>
        <v>34623.7059277681</v>
      </c>
      <c r="V233" s="11">
        <f t="shared" si="110"/>
        <v>36578.5174656442</v>
      </c>
      <c r="W233" s="11">
        <f t="shared" si="111"/>
        <v>39103.1138918182</v>
      </c>
      <c r="X233" s="11">
        <f t="shared" si="112"/>
        <v>41723.2629902961</v>
      </c>
    </row>
  </sheetData>
  <mergeCells count="11">
    <mergeCell ref="A1:E1"/>
    <mergeCell ref="A35:D35"/>
    <mergeCell ref="A67:E67"/>
    <mergeCell ref="A69:F69"/>
    <mergeCell ref="A102:F102"/>
    <mergeCell ref="G102:P102"/>
    <mergeCell ref="A135:B135"/>
    <mergeCell ref="A167:L167"/>
    <mergeCell ref="A202:D202"/>
    <mergeCell ref="Q167:R168"/>
    <mergeCell ref="A168:O16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2"/>
  <sheetViews>
    <sheetView tabSelected="1" workbookViewId="0">
      <selection activeCell="K34" sqref="K34"/>
    </sheetView>
  </sheetViews>
  <sheetFormatPr defaultColWidth="9" defaultRowHeight="14.25"/>
  <cols>
    <col min="2" max="20" width="12.6666666666667"/>
    <col min="21" max="21" width="14.9166666666667" customWidth="1"/>
    <col min="22" max="22" width="16.0833333333333" customWidth="1"/>
    <col min="23" max="23" width="12.6666666666667"/>
    <col min="24" max="24" width="11" customWidth="1"/>
  </cols>
  <sheetData>
    <row r="1" s="1" customFormat="1" spans="1:25">
      <c r="A1" s="2" t="s">
        <v>1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</row>
    <row r="2" spans="1:25">
      <c r="A2" s="3" t="s">
        <v>2</v>
      </c>
      <c r="B2" s="3">
        <v>5862.1769373337</v>
      </c>
      <c r="C2" s="3">
        <v>6812.18731518085</v>
      </c>
      <c r="D2" s="3">
        <v>7998.0801198877</v>
      </c>
      <c r="E2" s="3">
        <v>9483.21775925791</v>
      </c>
      <c r="F2" s="3">
        <v>11085.6999221717</v>
      </c>
      <c r="G2" s="3">
        <v>12826.5697672032</v>
      </c>
      <c r="H2" s="3">
        <v>14683.2090727351</v>
      </c>
      <c r="I2" s="3">
        <v>16668.8300069252</v>
      </c>
      <c r="J2" s="3">
        <v>18149.2319094442</v>
      </c>
      <c r="K2" s="3">
        <v>19946.5364719419</v>
      </c>
      <c r="L2" s="3">
        <v>22210.3073285137</v>
      </c>
      <c r="M2" s="3">
        <v>24467.8477949572</v>
      </c>
      <c r="N2" s="3">
        <v>27257.0717505261</v>
      </c>
      <c r="O2" s="3">
        <v>30184.1489906487</v>
      </c>
      <c r="P2" s="3">
        <v>33072.1644598143</v>
      </c>
      <c r="Q2" s="3">
        <v>35954.1187202758</v>
      </c>
      <c r="R2" s="3">
        <v>39788.7154976584</v>
      </c>
      <c r="S2" s="3">
        <v>43357.8647847541</v>
      </c>
      <c r="T2" s="3">
        <v>45825.3446519643</v>
      </c>
      <c r="U2" s="3">
        <v>47697.1222370012</v>
      </c>
      <c r="V2" s="3">
        <v>49397.647961151</v>
      </c>
      <c r="W2" s="3">
        <v>51172.200568615</v>
      </c>
      <c r="X2" s="1">
        <v>52879.3679341045</v>
      </c>
      <c r="Y2" s="1">
        <v>7643.53280343864</v>
      </c>
    </row>
    <row r="3" spans="1:25">
      <c r="A3" s="3" t="s">
        <v>3</v>
      </c>
      <c r="B3" s="3">
        <v>2807.94062873993</v>
      </c>
      <c r="C3" s="3">
        <v>3307.95362569964</v>
      </c>
      <c r="D3" s="3">
        <v>3879.510767564</v>
      </c>
      <c r="E3" s="3">
        <v>4614.20185457044</v>
      </c>
      <c r="F3" s="3">
        <v>5432.97969277671</v>
      </c>
      <c r="G3" s="3">
        <v>6411.33994156786</v>
      </c>
      <c r="H3" s="3">
        <v>7584.07078368624</v>
      </c>
      <c r="I3" s="3">
        <v>9043.00686681579</v>
      </c>
      <c r="J3" s="3">
        <v>10934.1507533216</v>
      </c>
      <c r="K3" s="3">
        <v>13908.1892581697</v>
      </c>
      <c r="L3" s="3">
        <v>17564.2575713886</v>
      </c>
      <c r="M3" s="3">
        <v>21753.6007137972</v>
      </c>
      <c r="N3" s="3">
        <v>26426.9599131107</v>
      </c>
      <c r="O3" s="3">
        <v>31479.5427314022</v>
      </c>
      <c r="P3" s="3">
        <v>36620.0724274551</v>
      </c>
      <c r="Q3" s="3">
        <v>40567.0768845549</v>
      </c>
      <c r="R3" s="3">
        <v>43838.1249980635</v>
      </c>
      <c r="S3" s="3">
        <v>46449.7506335444</v>
      </c>
      <c r="T3" s="3">
        <v>48058.352915011</v>
      </c>
      <c r="U3" s="3">
        <v>50241.6282216333</v>
      </c>
      <c r="V3" s="3">
        <v>52258.6603858862</v>
      </c>
      <c r="W3" s="3">
        <v>54314.5695678856</v>
      </c>
      <c r="X3" s="1">
        <v>55243.8281530821</v>
      </c>
      <c r="Y3" s="1">
        <v>5730.5430305015</v>
      </c>
    </row>
    <row r="4" spans="1:25">
      <c r="A4" s="3" t="s">
        <v>4</v>
      </c>
      <c r="B4" s="3">
        <v>7089.86327053032</v>
      </c>
      <c r="C4" s="3">
        <v>8262.36380562975</v>
      </c>
      <c r="D4" s="3">
        <v>9427.30133568864</v>
      </c>
      <c r="E4" s="3">
        <v>10864.8737630596</v>
      </c>
      <c r="F4" s="3">
        <v>12688.4088522275</v>
      </c>
      <c r="G4" s="3">
        <v>15203.1250533072</v>
      </c>
      <c r="H4" s="3">
        <v>18036.1083745891</v>
      </c>
      <c r="I4" s="3">
        <v>21327.2529647413</v>
      </c>
      <c r="J4" s="3">
        <v>25464.8418512239</v>
      </c>
      <c r="K4" s="3">
        <v>30259.5694791842</v>
      </c>
      <c r="L4" s="3">
        <v>35349.8747249381</v>
      </c>
      <c r="M4" s="3">
        <v>41583.2725408158</v>
      </c>
      <c r="N4" s="3">
        <v>48133.3040700772</v>
      </c>
      <c r="O4" s="3">
        <v>54771.8763638397</v>
      </c>
      <c r="P4" s="3">
        <v>61319.181311865</v>
      </c>
      <c r="Q4" s="3">
        <v>67580.7590592967</v>
      </c>
      <c r="R4" s="3">
        <v>74213.5608656015</v>
      </c>
      <c r="S4" s="3">
        <v>79548.9572402134</v>
      </c>
      <c r="T4" s="3">
        <v>84427.8722926009</v>
      </c>
      <c r="U4" s="3">
        <v>89234.1085725352</v>
      </c>
      <c r="V4" s="3">
        <v>93665.0552464093</v>
      </c>
      <c r="W4" s="3">
        <v>97891.7762039044</v>
      </c>
      <c r="X4" s="1">
        <v>102523.654312398</v>
      </c>
      <c r="Y4" s="1">
        <v>16231.1612699892</v>
      </c>
    </row>
    <row r="5" spans="1:25">
      <c r="A5" s="3" t="s">
        <v>5</v>
      </c>
      <c r="B5" s="3">
        <v>2318.58223143565</v>
      </c>
      <c r="C5" s="3">
        <v>2795.04575653009</v>
      </c>
      <c r="D5" s="3">
        <v>3346.46519044203</v>
      </c>
      <c r="E5" s="3">
        <v>4038.14372902888</v>
      </c>
      <c r="F5" s="3">
        <v>4932.7646305992</v>
      </c>
      <c r="G5" s="3">
        <v>6057.08384794926</v>
      </c>
      <c r="H5" s="3">
        <v>7421.0362522083</v>
      </c>
      <c r="I5" s="3">
        <v>9024.05633778732</v>
      </c>
      <c r="J5" s="3">
        <v>10664.7015005817</v>
      </c>
      <c r="K5" s="3">
        <v>13124.8000556656</v>
      </c>
      <c r="L5" s="3">
        <v>15903.1624331299</v>
      </c>
      <c r="M5" s="3">
        <v>19115.8437599927</v>
      </c>
      <c r="N5" s="3">
        <v>22192.5048257376</v>
      </c>
      <c r="O5" s="3">
        <v>25597.9674839931</v>
      </c>
      <c r="P5" s="3">
        <v>28737.9118566531</v>
      </c>
      <c r="Q5" s="3">
        <v>31644.8063888394</v>
      </c>
      <c r="R5" s="3">
        <v>33922.6277992884</v>
      </c>
      <c r="S5" s="3">
        <v>34532.1144858667</v>
      </c>
      <c r="T5" s="3">
        <v>35124.4941400368</v>
      </c>
      <c r="U5" s="3">
        <v>35875.0127036257</v>
      </c>
      <c r="V5" s="3">
        <v>36887.5043260786</v>
      </c>
      <c r="W5" s="3">
        <v>38165.9756411041</v>
      </c>
      <c r="X5" s="1">
        <v>39502.3783981303</v>
      </c>
      <c r="Y5" s="1">
        <v>5160.27397790792</v>
      </c>
    </row>
    <row r="6" spans="1:25">
      <c r="A6" s="3" t="s">
        <v>6</v>
      </c>
      <c r="B6" s="3">
        <v>976.522390206497</v>
      </c>
      <c r="C6" s="3">
        <v>1375.46775846209</v>
      </c>
      <c r="D6" s="3">
        <v>1941.13366956667</v>
      </c>
      <c r="E6" s="3">
        <v>2904.26010793707</v>
      </c>
      <c r="F6" s="3">
        <v>4243.29013561477</v>
      </c>
      <c r="G6" s="3">
        <v>6139.15249448714</v>
      </c>
      <c r="H6" s="3">
        <v>8320.93171299569</v>
      </c>
      <c r="I6" s="3">
        <v>10981.1246070873</v>
      </c>
      <c r="J6" s="3">
        <v>13966.8053037403</v>
      </c>
      <c r="K6" s="3">
        <v>18154.1059004029</v>
      </c>
      <c r="L6" s="3">
        <v>22695.3656612111</v>
      </c>
      <c r="M6" s="3">
        <v>27656.7119616698</v>
      </c>
      <c r="N6" s="3">
        <v>33389.295836039</v>
      </c>
      <c r="O6" s="3">
        <v>40113.2895189017</v>
      </c>
      <c r="P6" s="3">
        <v>44873.4502662637</v>
      </c>
      <c r="Q6" s="3">
        <v>49569.9953566307</v>
      </c>
      <c r="R6" s="3">
        <v>52854.4142115008</v>
      </c>
      <c r="S6" s="3">
        <v>54076.299114551</v>
      </c>
      <c r="T6" s="3">
        <v>53004.3248381137</v>
      </c>
      <c r="U6" s="3">
        <v>52288.5207568538</v>
      </c>
      <c r="V6" s="3">
        <v>51481.2198555849</v>
      </c>
      <c r="W6" s="3">
        <v>51196.6839365221</v>
      </c>
      <c r="X6" s="1">
        <v>51774.8982944471</v>
      </c>
      <c r="Y6" s="1">
        <v>7370.6425039828</v>
      </c>
    </row>
    <row r="7" spans="1:25">
      <c r="A7" s="3" t="s">
        <v>7</v>
      </c>
      <c r="B7" s="3">
        <v>4018.02632657792</v>
      </c>
      <c r="C7" s="3">
        <v>5016.04705552761</v>
      </c>
      <c r="D7" s="3">
        <v>6076.09534611781</v>
      </c>
      <c r="E7" s="3">
        <v>7438.61471401612</v>
      </c>
      <c r="F7" s="3">
        <v>9316.72684765684</v>
      </c>
      <c r="G7" s="3">
        <v>12128.9501746884</v>
      </c>
      <c r="H7" s="3">
        <v>15424.6849831605</v>
      </c>
      <c r="I7" s="3">
        <v>19030.7166338425</v>
      </c>
      <c r="J7" s="3">
        <v>23188.530395689</v>
      </c>
      <c r="K7" s="3">
        <v>27725.810789299</v>
      </c>
      <c r="L7" s="3">
        <v>33211.6889544513</v>
      </c>
      <c r="M7" s="3">
        <v>39297.1672560364</v>
      </c>
      <c r="N7" s="3">
        <v>45744.8921604113</v>
      </c>
      <c r="O7" s="3">
        <v>52507.9911195677</v>
      </c>
      <c r="P7" s="3">
        <v>58886.1373410554</v>
      </c>
      <c r="Q7" s="3">
        <v>61290.3284551761</v>
      </c>
      <c r="R7" s="3">
        <v>61342.0401535393</v>
      </c>
      <c r="S7" s="3">
        <v>61459.3854816713</v>
      </c>
      <c r="T7" s="3">
        <v>61577.087989722</v>
      </c>
      <c r="U7" s="3">
        <v>61495.7581667201</v>
      </c>
      <c r="V7" s="3">
        <v>61436.3645904065</v>
      </c>
      <c r="W7" s="3">
        <v>61482.5983767446</v>
      </c>
      <c r="X7" s="1">
        <v>61630.1125376757</v>
      </c>
      <c r="Y7" s="1">
        <v>7154.29292781539</v>
      </c>
    </row>
    <row r="8" spans="1:25">
      <c r="A8" s="3" t="s">
        <v>8</v>
      </c>
      <c r="B8" s="3">
        <v>2131.33969094803</v>
      </c>
      <c r="C8" s="3">
        <v>2589.7824473681</v>
      </c>
      <c r="D8" s="3">
        <v>3111.50794639902</v>
      </c>
      <c r="E8" s="3">
        <v>3735.4065060362</v>
      </c>
      <c r="F8" s="3">
        <v>4525.75933637756</v>
      </c>
      <c r="G8" s="3">
        <v>5670.77874405397</v>
      </c>
      <c r="H8" s="3">
        <v>7547.52523677888</v>
      </c>
      <c r="I8" s="3">
        <v>10152.7722428191</v>
      </c>
      <c r="J8" s="3">
        <v>13521.6103996173</v>
      </c>
      <c r="K8" s="3">
        <v>17088.6959489173</v>
      </c>
      <c r="L8" s="3">
        <v>21196.5594192627</v>
      </c>
      <c r="M8" s="3">
        <v>25085.3078899471</v>
      </c>
      <c r="N8" s="3">
        <v>29174.3202986581</v>
      </c>
      <c r="O8" s="3">
        <v>33197.644742202</v>
      </c>
      <c r="P8" s="3">
        <v>37224.6414368963</v>
      </c>
      <c r="Q8" s="3">
        <v>41474.6915067063</v>
      </c>
      <c r="R8" s="3">
        <v>44743.0765655558</v>
      </c>
      <c r="S8" s="3">
        <v>47176.5647349615</v>
      </c>
      <c r="T8" s="3">
        <v>49132.9029443755</v>
      </c>
      <c r="U8" s="3">
        <v>49568.9246688634</v>
      </c>
      <c r="V8" s="3">
        <v>50298.5653265522</v>
      </c>
      <c r="W8" s="3">
        <v>51585.3040275472</v>
      </c>
      <c r="X8" s="1">
        <v>52431.3337323047</v>
      </c>
      <c r="Y8" s="1">
        <v>6525.80416742252</v>
      </c>
    </row>
    <row r="9" spans="1:25">
      <c r="A9" s="3" t="s">
        <v>9</v>
      </c>
      <c r="B9" s="3">
        <v>4548.83545791891</v>
      </c>
      <c r="C9" s="3">
        <v>5096.03733748524</v>
      </c>
      <c r="D9" s="3">
        <v>5686.96099833903</v>
      </c>
      <c r="E9" s="3">
        <v>6292.92218457261</v>
      </c>
      <c r="F9" s="3">
        <v>7011.13118898405</v>
      </c>
      <c r="G9" s="3">
        <v>7867.18457701065</v>
      </c>
      <c r="H9" s="3">
        <v>8990.38954254816</v>
      </c>
      <c r="I9" s="3">
        <v>10454.7094696972</v>
      </c>
      <c r="J9" s="3">
        <v>12163.4103356107</v>
      </c>
      <c r="K9" s="3">
        <v>14417.7440877652</v>
      </c>
      <c r="L9" s="3">
        <v>16952.6866665484</v>
      </c>
      <c r="M9" s="3">
        <v>19763.785386481</v>
      </c>
      <c r="N9" s="3">
        <v>23089.4544376368</v>
      </c>
      <c r="O9" s="3">
        <v>26977.3052010213</v>
      </c>
      <c r="P9" s="3">
        <v>30533.3876862751</v>
      </c>
      <c r="Q9" s="3">
        <v>34031.8965384083</v>
      </c>
      <c r="R9" s="3">
        <v>36822.9623049518</v>
      </c>
      <c r="S9" s="3">
        <v>39438.2370071893</v>
      </c>
      <c r="T9" s="3">
        <v>41251.7897901847</v>
      </c>
      <c r="U9" s="3">
        <v>43201.3778783861</v>
      </c>
      <c r="V9" s="3">
        <v>45019.5200419737</v>
      </c>
      <c r="W9" s="3">
        <v>47016.2017413162</v>
      </c>
      <c r="X9" s="1">
        <v>48705.6264451082</v>
      </c>
      <c r="Y9" s="1">
        <v>5794.95542074902</v>
      </c>
    </row>
    <row r="10" spans="1:25">
      <c r="A10" s="3" t="s">
        <v>10</v>
      </c>
      <c r="B10" s="3">
        <v>9098.748044059</v>
      </c>
      <c r="C10" s="3">
        <v>10186.9175126506</v>
      </c>
      <c r="D10" s="3">
        <v>11413.0559125554</v>
      </c>
      <c r="E10" s="3">
        <v>12717.6992232285</v>
      </c>
      <c r="F10" s="3">
        <v>14258.9301243225</v>
      </c>
      <c r="G10" s="3">
        <v>16090.2535753295</v>
      </c>
      <c r="H10" s="3">
        <v>18263.302779269</v>
      </c>
      <c r="I10" s="3">
        <v>20767.1839283534</v>
      </c>
      <c r="J10" s="3">
        <v>23006.0987737888</v>
      </c>
      <c r="K10" s="3">
        <v>25829.9019833069</v>
      </c>
      <c r="L10" s="3">
        <v>28094.8678788327</v>
      </c>
      <c r="M10" s="3">
        <v>30116.6395628508</v>
      </c>
      <c r="N10" s="3">
        <v>32106.6208260222</v>
      </c>
      <c r="O10" s="3">
        <v>34323.1836571733</v>
      </c>
      <c r="P10" s="3">
        <v>36571.9808649684</v>
      </c>
      <c r="Q10" s="3">
        <v>39515.1265834537</v>
      </c>
      <c r="R10" s="3">
        <v>43428.8406781303</v>
      </c>
      <c r="S10" s="3">
        <v>47032.4566178106</v>
      </c>
      <c r="T10" s="3">
        <v>50209.4366411156</v>
      </c>
      <c r="U10" s="3">
        <v>53342.2376804332</v>
      </c>
      <c r="V10" s="3">
        <v>56861.9442522781</v>
      </c>
      <c r="W10" s="3">
        <v>60625.228015341</v>
      </c>
      <c r="X10" s="1">
        <v>63634.7511464025</v>
      </c>
      <c r="Y10" s="1">
        <v>10953.4464230467</v>
      </c>
    </row>
    <row r="11" spans="1:25">
      <c r="A11" s="3" t="s">
        <v>11</v>
      </c>
      <c r="B11" s="3">
        <v>11809.7484248133</v>
      </c>
      <c r="C11" s="3">
        <v>14030.4396799934</v>
      </c>
      <c r="D11" s="3">
        <v>16388.9962756333</v>
      </c>
      <c r="E11" s="3">
        <v>19718.7570810925</v>
      </c>
      <c r="F11" s="3">
        <v>23518.5469513781</v>
      </c>
      <c r="G11" s="3">
        <v>28472.2375868374</v>
      </c>
      <c r="H11" s="3">
        <v>33781.9835003429</v>
      </c>
      <c r="I11" s="3">
        <v>39439.7745161682</v>
      </c>
      <c r="J11" s="3">
        <v>45303.1666773611</v>
      </c>
      <c r="K11" s="3">
        <v>53065.4175744696</v>
      </c>
      <c r="L11" s="3">
        <v>61882.7323271849</v>
      </c>
      <c r="M11" s="3">
        <v>71324.7846251775</v>
      </c>
      <c r="N11" s="3">
        <v>81232.7251479906</v>
      </c>
      <c r="O11" s="3">
        <v>90831.651232368</v>
      </c>
      <c r="P11" s="3">
        <v>99893.8193234048</v>
      </c>
      <c r="Q11" s="3">
        <v>109499.770690039</v>
      </c>
      <c r="R11" s="3">
        <v>119910.227318155</v>
      </c>
      <c r="S11" s="3">
        <v>130284.515292313</v>
      </c>
      <c r="T11" s="3">
        <v>139410.854658805</v>
      </c>
      <c r="U11" s="3">
        <v>148414.943129265</v>
      </c>
      <c r="V11" s="3">
        <v>155910.976284725</v>
      </c>
      <c r="W11" s="3">
        <v>163567.744461013</v>
      </c>
      <c r="X11" s="1">
        <v>170772.722018208</v>
      </c>
      <c r="Y11" s="1">
        <v>26333.5323429558</v>
      </c>
    </row>
    <row r="12" spans="1:25">
      <c r="A12" s="3" t="s">
        <v>12</v>
      </c>
      <c r="B12" s="3">
        <v>8442.83045742191</v>
      </c>
      <c r="C12" s="3">
        <v>10152.3567970574</v>
      </c>
      <c r="D12" s="3">
        <v>12265.6896906886</v>
      </c>
      <c r="E12" s="3">
        <v>15211.1592938534</v>
      </c>
      <c r="F12" s="3">
        <v>18574.8606875631</v>
      </c>
      <c r="G12" s="3">
        <v>22190.6679284074</v>
      </c>
      <c r="H12" s="3">
        <v>26034.0812288145</v>
      </c>
      <c r="I12" s="3">
        <v>29980.585202769</v>
      </c>
      <c r="J12" s="3">
        <v>33542.6654331926</v>
      </c>
      <c r="K12" s="3">
        <v>38092.7211643844</v>
      </c>
      <c r="L12" s="3">
        <v>43221.0341503748</v>
      </c>
      <c r="M12" s="3">
        <v>48369.3992166463</v>
      </c>
      <c r="N12" s="3">
        <v>53598.903335596</v>
      </c>
      <c r="O12" s="3">
        <v>59359.7865694153</v>
      </c>
      <c r="P12" s="3">
        <v>65037.0361786362</v>
      </c>
      <c r="Q12" s="3">
        <v>71309.2601785504</v>
      </c>
      <c r="R12" s="3">
        <v>78783.766114174</v>
      </c>
      <c r="S12" s="3">
        <v>85428.1682087957</v>
      </c>
      <c r="T12" s="3">
        <v>91546.7160571679</v>
      </c>
      <c r="U12" s="3">
        <v>98192.5520913688</v>
      </c>
      <c r="V12" s="3">
        <v>104615.439529981</v>
      </c>
      <c r="W12" s="3">
        <v>111908.945576008</v>
      </c>
      <c r="X12" s="1">
        <v>119669.615372187</v>
      </c>
      <c r="Y12" s="1">
        <v>21183.9177820732</v>
      </c>
    </row>
    <row r="13" spans="1:25">
      <c r="A13" s="3" t="s">
        <v>13</v>
      </c>
      <c r="B13" s="3">
        <v>3687.95588205477</v>
      </c>
      <c r="C13" s="3">
        <v>4301.15290230619</v>
      </c>
      <c r="D13" s="3">
        <v>4961.21993490577</v>
      </c>
      <c r="E13" s="3">
        <v>5725.80810341188</v>
      </c>
      <c r="F13" s="3">
        <v>6798.09858002635</v>
      </c>
      <c r="G13" s="3">
        <v>8037.50314538009</v>
      </c>
      <c r="H13" s="3">
        <v>9493.54420188807</v>
      </c>
      <c r="I13" s="3">
        <v>11244.3190008147</v>
      </c>
      <c r="J13" s="3">
        <v>13238.3545268505</v>
      </c>
      <c r="K13" s="3">
        <v>15617.7396835881</v>
      </c>
      <c r="L13" s="3">
        <v>18475.3959679944</v>
      </c>
      <c r="M13" s="3">
        <v>21746.7703345444</v>
      </c>
      <c r="N13" s="3">
        <v>25357.4021813482</v>
      </c>
      <c r="O13" s="3">
        <v>29289.5699168979</v>
      </c>
      <c r="P13" s="3">
        <v>33447.2579995897</v>
      </c>
      <c r="Q13" s="3">
        <v>37656.2979139186</v>
      </c>
      <c r="R13" s="3">
        <v>42352.8434717987</v>
      </c>
      <c r="S13" s="3">
        <v>46741.2657446418</v>
      </c>
      <c r="T13" s="3">
        <v>51160.8319033388</v>
      </c>
      <c r="U13" s="3">
        <v>55739.6364976676</v>
      </c>
      <c r="V13" s="3">
        <v>60054.6418518878</v>
      </c>
      <c r="W13" s="3">
        <v>64774.8652443806</v>
      </c>
      <c r="X13" s="1">
        <v>69753.394162627</v>
      </c>
      <c r="Y13" s="1">
        <v>12535.8965219478</v>
      </c>
    </row>
    <row r="14" spans="1:25">
      <c r="A14" s="3" t="s">
        <v>14</v>
      </c>
      <c r="B14" s="3">
        <v>4721.83485483656</v>
      </c>
      <c r="C14" s="3">
        <v>5480.63331253542</v>
      </c>
      <c r="D14" s="3">
        <v>6274.63239326845</v>
      </c>
      <c r="E14" s="3">
        <v>7249.74674238254</v>
      </c>
      <c r="F14" s="3">
        <v>8474.66501507355</v>
      </c>
      <c r="G14" s="3">
        <v>10080.6793448901</v>
      </c>
      <c r="H14" s="3">
        <v>12074.2641080068</v>
      </c>
      <c r="I14" s="3">
        <v>14591.3158308515</v>
      </c>
      <c r="J14" s="3">
        <v>17667.2537491108</v>
      </c>
      <c r="K14" s="3">
        <v>21214.2666971016</v>
      </c>
      <c r="L14" s="3">
        <v>24942.0935547838</v>
      </c>
      <c r="M14" s="3">
        <v>29242.4729701964</v>
      </c>
      <c r="N14" s="3">
        <v>33986.7646203904</v>
      </c>
      <c r="O14" s="3">
        <v>39292.1909424644</v>
      </c>
      <c r="P14" s="3">
        <v>45027.1693332995</v>
      </c>
      <c r="Q14" s="3">
        <v>51170.8500145356</v>
      </c>
      <c r="R14" s="3">
        <v>57766.0976868485</v>
      </c>
      <c r="S14" s="3">
        <v>64521.0494692423</v>
      </c>
      <c r="T14" s="3">
        <v>71358.9985380642</v>
      </c>
      <c r="U14" s="3">
        <v>78050.4798844985</v>
      </c>
      <c r="V14" s="3">
        <v>83639.3741735619</v>
      </c>
      <c r="W14" s="3">
        <v>89360.1060108811</v>
      </c>
      <c r="X14" s="1">
        <v>95272.0065866392</v>
      </c>
      <c r="Y14" s="1">
        <v>16098.4123994144</v>
      </c>
    </row>
    <row r="15" spans="1:25">
      <c r="A15" s="3" t="s">
        <v>15</v>
      </c>
      <c r="B15" s="3">
        <v>2054.9636086611</v>
      </c>
      <c r="C15" s="3">
        <v>2534.18853547338</v>
      </c>
      <c r="D15" s="3">
        <v>3198.60527380552</v>
      </c>
      <c r="E15" s="3">
        <v>4069.77409144174</v>
      </c>
      <c r="F15" s="3">
        <v>5086.99468456386</v>
      </c>
      <c r="G15" s="3">
        <v>6242.65439549155</v>
      </c>
      <c r="H15" s="3">
        <v>7650.33505018926</v>
      </c>
      <c r="I15" s="3">
        <v>9255.6604547752</v>
      </c>
      <c r="J15" s="3">
        <v>10969.4796636951</v>
      </c>
      <c r="K15" s="3">
        <v>12920.4710488149</v>
      </c>
      <c r="L15" s="3">
        <v>14997.8861768807</v>
      </c>
      <c r="M15" s="3">
        <v>17287.688722479</v>
      </c>
      <c r="N15" s="3">
        <v>19634.5059897851</v>
      </c>
      <c r="O15" s="3">
        <v>22024.400938132</v>
      </c>
      <c r="P15" s="3">
        <v>24216.613453156</v>
      </c>
      <c r="Q15" s="3">
        <v>26894.4929713263</v>
      </c>
      <c r="R15" s="3">
        <v>30194.6406649397</v>
      </c>
      <c r="S15" s="3">
        <v>33236.2108321538</v>
      </c>
      <c r="T15" s="3">
        <v>36224.9629079626</v>
      </c>
      <c r="U15" s="3">
        <v>39326.5168707596</v>
      </c>
      <c r="V15" s="3">
        <v>42474.1262446343</v>
      </c>
      <c r="W15" s="3">
        <v>46008.4937725278</v>
      </c>
      <c r="X15" s="1">
        <v>49685.405498231</v>
      </c>
      <c r="Y15" s="1">
        <v>8180.45416473088</v>
      </c>
    </row>
    <row r="16" spans="1:25">
      <c r="A16" s="3" t="s">
        <v>16</v>
      </c>
      <c r="B16" s="3">
        <v>11338.5043738823</v>
      </c>
      <c r="C16" s="3">
        <v>13565.4788507178</v>
      </c>
      <c r="D16" s="3">
        <v>16168.4098662844</v>
      </c>
      <c r="E16" s="3">
        <v>19307.6244958516</v>
      </c>
      <c r="F16" s="3">
        <v>23278.3629868118</v>
      </c>
      <c r="G16" s="3">
        <v>28425.4315950345</v>
      </c>
      <c r="H16" s="3">
        <v>34434.9622403537</v>
      </c>
      <c r="I16" s="3">
        <v>40793.2127364165</v>
      </c>
      <c r="J16" s="3">
        <v>47632.854155094</v>
      </c>
      <c r="K16" s="3">
        <v>56180.3452671969</v>
      </c>
      <c r="L16" s="3">
        <v>65610.2589650354</v>
      </c>
      <c r="M16" s="3">
        <v>75456.4386543989</v>
      </c>
      <c r="N16" s="3">
        <v>85847.7134400747</v>
      </c>
      <c r="O16" s="3">
        <v>96717.8589947592</v>
      </c>
      <c r="P16" s="3">
        <v>107993.31306022</v>
      </c>
      <c r="Q16" s="3">
        <v>119667.497292228</v>
      </c>
      <c r="R16" s="3">
        <v>130503.636853429</v>
      </c>
      <c r="S16" s="3">
        <v>139618.683412137</v>
      </c>
      <c r="T16" s="3">
        <v>147293.283636006</v>
      </c>
      <c r="U16" s="3">
        <v>151668.139823352</v>
      </c>
      <c r="V16" s="3">
        <v>155723.186481311</v>
      </c>
      <c r="W16" s="3">
        <v>160314.568789949</v>
      </c>
      <c r="X16" s="1">
        <v>165339.786055838</v>
      </c>
      <c r="Y16" s="1">
        <v>23746.9231703706</v>
      </c>
    </row>
    <row r="17" spans="1:25">
      <c r="A17" s="3" t="s">
        <v>17</v>
      </c>
      <c r="B17" s="3">
        <v>5865.62844299018</v>
      </c>
      <c r="C17" s="3">
        <v>7006.38106364642</v>
      </c>
      <c r="D17" s="3">
        <v>8275.5007959356</v>
      </c>
      <c r="E17" s="3">
        <v>9732.64210033625</v>
      </c>
      <c r="F17" s="3">
        <v>11506.6684101491</v>
      </c>
      <c r="G17" s="3">
        <v>14170.0885278274</v>
      </c>
      <c r="H17" s="3">
        <v>17760.9479199586</v>
      </c>
      <c r="I17" s="3">
        <v>22405.1472482515</v>
      </c>
      <c r="J17" s="3">
        <v>27693.8370537326</v>
      </c>
      <c r="K17" s="3">
        <v>34793.2706056451</v>
      </c>
      <c r="L17" s="3">
        <v>42812.2509264195</v>
      </c>
      <c r="M17" s="3">
        <v>51322.4373305633</v>
      </c>
      <c r="N17" s="3">
        <v>60747.8064124874</v>
      </c>
      <c r="O17" s="3">
        <v>71038.2678318692</v>
      </c>
      <c r="P17" s="3">
        <v>81785.9754924657</v>
      </c>
      <c r="Q17" s="3">
        <v>92571.3870790056</v>
      </c>
      <c r="R17" s="3">
        <v>103678.781449908</v>
      </c>
      <c r="S17" s="3">
        <v>112652.826098958</v>
      </c>
      <c r="T17" s="3">
        <v>121164.28837249</v>
      </c>
      <c r="U17" s="3">
        <v>129713.043776842</v>
      </c>
      <c r="V17" s="3">
        <v>137643.362807894</v>
      </c>
      <c r="W17" s="3">
        <v>145494.694562582</v>
      </c>
      <c r="X17" s="1">
        <v>153660.620164402</v>
      </c>
      <c r="Y17" s="1">
        <v>24667.8348221674</v>
      </c>
    </row>
    <row r="18" spans="1:25">
      <c r="A18" s="3" t="s">
        <v>18</v>
      </c>
      <c r="B18" s="3">
        <v>7112.04018394101</v>
      </c>
      <c r="C18" s="3">
        <v>7941.88125910175</v>
      </c>
      <c r="D18" s="3">
        <v>8772.93596096183</v>
      </c>
      <c r="E18" s="3">
        <v>9629.10022101464</v>
      </c>
      <c r="F18" s="3">
        <v>10700.0023292981</v>
      </c>
      <c r="G18" s="3">
        <v>12035.4572012806</v>
      </c>
      <c r="H18" s="3">
        <v>13840.2614272663</v>
      </c>
      <c r="I18" s="3">
        <v>16012.9281824252</v>
      </c>
      <c r="J18" s="3">
        <v>18400.3401652526</v>
      </c>
      <c r="K18" s="3">
        <v>21547.7575640067</v>
      </c>
      <c r="L18" s="3">
        <v>25302.4951708445</v>
      </c>
      <c r="M18" s="3">
        <v>29896.0870871496</v>
      </c>
      <c r="N18" s="3">
        <v>34857.6254622766</v>
      </c>
      <c r="O18" s="3">
        <v>40346.6964998394</v>
      </c>
      <c r="P18" s="3">
        <v>46313.1698002276</v>
      </c>
      <c r="Q18" s="3">
        <v>52578.0247690158</v>
      </c>
      <c r="R18" s="3">
        <v>59333.8167677972</v>
      </c>
      <c r="S18" s="3">
        <v>65973.7004733533</v>
      </c>
      <c r="T18" s="3">
        <v>72428.3353647669</v>
      </c>
      <c r="U18" s="3">
        <v>79057.1947865437</v>
      </c>
      <c r="V18" s="3">
        <v>81909.963474489</v>
      </c>
      <c r="W18" s="3">
        <v>86758.1493568542</v>
      </c>
      <c r="X18" s="1">
        <v>92821.7828876805</v>
      </c>
      <c r="Y18" s="1">
        <v>16334.6084269274</v>
      </c>
    </row>
    <row r="19" spans="1:25">
      <c r="A19" s="3" t="s">
        <v>19</v>
      </c>
      <c r="B19" s="3">
        <v>4617.89967924185</v>
      </c>
      <c r="C19" s="3">
        <v>5329.12239562103</v>
      </c>
      <c r="D19" s="3">
        <v>6104.14211199629</v>
      </c>
      <c r="E19" s="3">
        <v>6979.54019095783</v>
      </c>
      <c r="F19" s="3">
        <v>8009.88821929809</v>
      </c>
      <c r="G19" s="3">
        <v>9339.7566216835</v>
      </c>
      <c r="H19" s="3">
        <v>11000.2188706548</v>
      </c>
      <c r="I19" s="3">
        <v>13163.3050075305</v>
      </c>
      <c r="J19" s="3">
        <v>15791.8118205522</v>
      </c>
      <c r="K19" s="3">
        <v>18947.1538148531</v>
      </c>
      <c r="L19" s="3">
        <v>22909.0900286845</v>
      </c>
      <c r="M19" s="3">
        <v>27292.408370407</v>
      </c>
      <c r="N19" s="3">
        <v>32051.8573728848</v>
      </c>
      <c r="O19" s="3">
        <v>37200.4443115433</v>
      </c>
      <c r="P19" s="3">
        <v>42641.1340022815</v>
      </c>
      <c r="Q19" s="3">
        <v>47413.3656429133</v>
      </c>
      <c r="R19" s="3">
        <v>52493.3021130349</v>
      </c>
      <c r="S19" s="3">
        <v>56864.8085097207</v>
      </c>
      <c r="T19" s="3">
        <v>61259.5720038318</v>
      </c>
      <c r="U19" s="3">
        <v>66050.4278325275</v>
      </c>
      <c r="V19" s="3">
        <v>70912.2566549462</v>
      </c>
      <c r="W19" s="3">
        <v>76144.2854349102</v>
      </c>
      <c r="X19" s="1">
        <v>81416.0396378482</v>
      </c>
      <c r="Y19" s="1">
        <v>13168.6982855483</v>
      </c>
    </row>
    <row r="20" spans="1:25">
      <c r="A20" s="3" t="s">
        <v>20</v>
      </c>
      <c r="B20" s="3">
        <v>12360.5232663019</v>
      </c>
      <c r="C20" s="3">
        <v>14446.4486388701</v>
      </c>
      <c r="D20" s="3">
        <v>16890.8998166903</v>
      </c>
      <c r="E20" s="3">
        <v>19923.7584695891</v>
      </c>
      <c r="F20" s="3">
        <v>23224.5873820596</v>
      </c>
      <c r="G20" s="3">
        <v>27400.4401448315</v>
      </c>
      <c r="H20" s="3">
        <v>32035.9607837475</v>
      </c>
      <c r="I20" s="3">
        <v>37279.8087081384</v>
      </c>
      <c r="J20" s="3">
        <v>42475.1932601464</v>
      </c>
      <c r="K20" s="3">
        <v>49554.5720310744</v>
      </c>
      <c r="L20" s="3">
        <v>57538.9695308762</v>
      </c>
      <c r="M20" s="3">
        <v>66195.4214367533</v>
      </c>
      <c r="N20" s="3">
        <v>75655.1281259945</v>
      </c>
      <c r="O20" s="3">
        <v>86064.6371155893</v>
      </c>
      <c r="P20" s="3">
        <v>97218.7587289576</v>
      </c>
      <c r="Q20" s="3">
        <v>108340.813218135</v>
      </c>
      <c r="R20" s="3">
        <v>121169.566935423</v>
      </c>
      <c r="S20" s="3">
        <v>134951.929345932</v>
      </c>
      <c r="T20" s="3">
        <v>148370.462927209</v>
      </c>
      <c r="U20" s="3">
        <v>162186.3091892</v>
      </c>
      <c r="V20" s="3">
        <v>175836.431346047</v>
      </c>
      <c r="W20" s="3">
        <v>189705.198319285</v>
      </c>
      <c r="X20" s="1">
        <v>200497.45027889</v>
      </c>
      <c r="Y20" s="1">
        <v>32244.561989824</v>
      </c>
    </row>
    <row r="21" spans="1:25">
      <c r="A21" s="3" t="s">
        <v>21</v>
      </c>
      <c r="B21" s="3">
        <v>2399.76138829102</v>
      </c>
      <c r="C21" s="3">
        <v>2857.88479503628</v>
      </c>
      <c r="D21" s="3">
        <v>3368.38552522052</v>
      </c>
      <c r="E21" s="3">
        <v>3950.46702980655</v>
      </c>
      <c r="F21" s="3">
        <v>4707.66502987196</v>
      </c>
      <c r="G21" s="3">
        <v>5775.82197419316</v>
      </c>
      <c r="H21" s="3">
        <v>7058.65138857946</v>
      </c>
      <c r="I21" s="3">
        <v>8726.40711140809</v>
      </c>
      <c r="J21" s="3">
        <v>10819.3162478959</v>
      </c>
      <c r="K21" s="3">
        <v>14213.8823992832</v>
      </c>
      <c r="L21" s="3">
        <v>18913.1031906221</v>
      </c>
      <c r="M21" s="3">
        <v>24215.4199700209</v>
      </c>
      <c r="N21" s="3">
        <v>29495.6407592402</v>
      </c>
      <c r="O21" s="3">
        <v>33571.7102406462</v>
      </c>
      <c r="P21" s="3">
        <v>37631.392850674</v>
      </c>
      <c r="Q21" s="3">
        <v>41940.231907823</v>
      </c>
      <c r="R21" s="3">
        <v>46458.303551541</v>
      </c>
      <c r="S21" s="3">
        <v>47877.6460903545</v>
      </c>
      <c r="T21" s="3">
        <v>49533.9682795532</v>
      </c>
      <c r="U21" s="3">
        <v>51494.1748209275</v>
      </c>
      <c r="V21" s="3">
        <v>53340.172893176</v>
      </c>
      <c r="W21" s="3">
        <v>55481.1874313995</v>
      </c>
      <c r="X21" s="1">
        <v>57246.4596763595</v>
      </c>
      <c r="Y21" s="1">
        <v>6643.16510760329</v>
      </c>
    </row>
    <row r="22" spans="1:25">
      <c r="A22" s="3" t="s">
        <v>22</v>
      </c>
      <c r="B22" s="3">
        <v>908.323076564205</v>
      </c>
      <c r="C22" s="3">
        <v>1016.32819538872</v>
      </c>
      <c r="D22" s="3">
        <v>1135.91575488478</v>
      </c>
      <c r="E22" s="3">
        <v>1272.66811800147</v>
      </c>
      <c r="F22" s="3">
        <v>1422.96753647865</v>
      </c>
      <c r="G22" s="3">
        <v>1612.76325607518</v>
      </c>
      <c r="H22" s="3">
        <v>1842.07312100504</v>
      </c>
      <c r="I22" s="3">
        <v>2114.70437101278</v>
      </c>
      <c r="J22" s="3">
        <v>2468.20487579249</v>
      </c>
      <c r="K22" s="3">
        <v>2874.35487861303</v>
      </c>
      <c r="L22" s="3">
        <v>3429.35287130724</v>
      </c>
      <c r="M22" s="3">
        <v>4066.09479290616</v>
      </c>
      <c r="N22" s="3">
        <v>4944.50160736154</v>
      </c>
      <c r="O22" s="3">
        <v>5931.4649751376</v>
      </c>
      <c r="P22" s="3">
        <v>7016.0729363813</v>
      </c>
      <c r="Q22" s="3">
        <v>7838.79383245153</v>
      </c>
      <c r="R22" s="3">
        <v>8702.38522328077</v>
      </c>
      <c r="S22" s="3">
        <v>9593.64185307012</v>
      </c>
      <c r="T22" s="3">
        <v>10062.3371748798</v>
      </c>
      <c r="U22" s="3">
        <v>10295.7140135108</v>
      </c>
      <c r="V22" s="3">
        <v>10577.9642780969</v>
      </c>
      <c r="W22" s="3">
        <v>10968.5175921752</v>
      </c>
      <c r="X22" s="1">
        <v>11227.7878225388</v>
      </c>
      <c r="Y22" s="1">
        <v>1473.07614736703</v>
      </c>
    </row>
    <row r="23" spans="1:25">
      <c r="A23" s="3" t="s">
        <v>23</v>
      </c>
      <c r="B23" s="3">
        <v>2297.18120091045</v>
      </c>
      <c r="C23" s="3">
        <v>2791.10458573511</v>
      </c>
      <c r="D23" s="3">
        <v>3390.4894775844</v>
      </c>
      <c r="E23" s="3">
        <v>4187.49749827572</v>
      </c>
      <c r="F23" s="3">
        <v>5109.18432953573</v>
      </c>
      <c r="G23" s="3">
        <v>6207.84013950778</v>
      </c>
      <c r="H23" s="3">
        <v>7399.62380501635</v>
      </c>
      <c r="I23" s="3">
        <v>8711.47661286883</v>
      </c>
      <c r="J23" s="3">
        <v>10061.1476642387</v>
      </c>
      <c r="K23" s="3">
        <v>11756.2293969922</v>
      </c>
      <c r="L23" s="3">
        <v>13770.661669563</v>
      </c>
      <c r="M23" s="3">
        <v>16186.490885809</v>
      </c>
      <c r="N23" s="3">
        <v>18638.8704845342</v>
      </c>
      <c r="O23" s="3">
        <v>21223.0431127426</v>
      </c>
      <c r="P23" s="3">
        <v>24019.6821102415</v>
      </c>
      <c r="Q23" s="3">
        <v>27071.2959930481</v>
      </c>
      <c r="R23" s="3">
        <v>30618.0094894727</v>
      </c>
      <c r="S23" s="3">
        <v>33985.9392416733</v>
      </c>
      <c r="T23" s="3">
        <v>37112.8136757422</v>
      </c>
      <c r="U23" s="3">
        <v>39936.1354339798</v>
      </c>
      <c r="V23" s="3">
        <v>42557.7964727673</v>
      </c>
      <c r="W23" s="3">
        <v>45296.8317029563</v>
      </c>
      <c r="X23" s="1">
        <v>47634.1533182139</v>
      </c>
      <c r="Y23" s="1">
        <v>7638.75035888408</v>
      </c>
    </row>
    <row r="24" spans="1:25">
      <c r="A24" s="3" t="s">
        <v>24</v>
      </c>
      <c r="B24" s="3">
        <v>6086.47437373858</v>
      </c>
      <c r="C24" s="3">
        <v>6967.07165922412</v>
      </c>
      <c r="D24" s="3">
        <v>7969.09587875992</v>
      </c>
      <c r="E24" s="3">
        <v>9153.27121136466</v>
      </c>
      <c r="F24" s="3">
        <v>10473.6957484822</v>
      </c>
      <c r="G24" s="3">
        <v>12074.5992775228</v>
      </c>
      <c r="H24" s="3">
        <v>14145.1261147025</v>
      </c>
      <c r="I24" s="3">
        <v>16655.2087084966</v>
      </c>
      <c r="J24" s="3">
        <v>19360.7023065544</v>
      </c>
      <c r="K24" s="3">
        <v>22654.3542612315</v>
      </c>
      <c r="L24" s="3">
        <v>26479.0802257314</v>
      </c>
      <c r="M24" s="3">
        <v>30770.6844906112</v>
      </c>
      <c r="N24" s="3">
        <v>35456.6408904692</v>
      </c>
      <c r="O24" s="3">
        <v>40250.8303225099</v>
      </c>
      <c r="P24" s="3">
        <v>45076.4497901587</v>
      </c>
      <c r="Q24" s="3">
        <v>49857.7804966984</v>
      </c>
      <c r="R24" s="3">
        <v>55070.5792988659</v>
      </c>
      <c r="S24" s="3">
        <v>60133.8486967863</v>
      </c>
      <c r="T24" s="3">
        <v>65038.5768004473</v>
      </c>
      <c r="U24" s="3">
        <v>70197.7524662089</v>
      </c>
      <c r="V24" s="3">
        <v>74743.8568833322</v>
      </c>
      <c r="W24" s="3">
        <v>79475.0856969125</v>
      </c>
      <c r="X24" s="1">
        <v>84194.5622453869</v>
      </c>
      <c r="Y24" s="1">
        <v>13752.2646434365</v>
      </c>
    </row>
    <row r="25" spans="1:25">
      <c r="A25" s="3" t="s">
        <v>25</v>
      </c>
      <c r="B25" s="3">
        <v>2212.78001345863</v>
      </c>
      <c r="C25" s="3">
        <v>2543.85494151344</v>
      </c>
      <c r="D25" s="3">
        <v>2924.97360950473</v>
      </c>
      <c r="E25" s="3">
        <v>3351.38464795243</v>
      </c>
      <c r="F25" s="3">
        <v>3791.29844420877</v>
      </c>
      <c r="G25" s="3">
        <v>4286.20473914289</v>
      </c>
      <c r="H25" s="3">
        <v>4859.03068521883</v>
      </c>
      <c r="I25" s="3">
        <v>5516.75683142394</v>
      </c>
      <c r="J25" s="3">
        <v>6268.44047418656</v>
      </c>
      <c r="K25" s="3">
        <v>7214.12520509712</v>
      </c>
      <c r="L25" s="3">
        <v>8373.27831156746</v>
      </c>
      <c r="M25" s="3">
        <v>9774.95394590783</v>
      </c>
      <c r="N25" s="3">
        <v>11656.5199516082</v>
      </c>
      <c r="O25" s="3">
        <v>14078.6672907261</v>
      </c>
      <c r="P25" s="3">
        <v>16755.2467150405</v>
      </c>
      <c r="Q25" s="3">
        <v>19919.5564368425</v>
      </c>
      <c r="R25" s="3">
        <v>23586.8326523429</v>
      </c>
      <c r="S25" s="3">
        <v>27283.4690962843</v>
      </c>
      <c r="T25" s="3">
        <v>31207.9065149427</v>
      </c>
      <c r="U25" s="3">
        <v>34607.5961899331</v>
      </c>
      <c r="V25" s="3">
        <v>37674.5633632639</v>
      </c>
      <c r="W25" s="3">
        <v>40186.0915229053</v>
      </c>
      <c r="X25" s="1">
        <v>41984.4386368158</v>
      </c>
      <c r="Y25" s="1">
        <v>5866.78676867216</v>
      </c>
    </row>
    <row r="26" spans="1:25">
      <c r="A26" s="3" t="s">
        <v>26</v>
      </c>
      <c r="B26" s="3">
        <v>3141.40829953451</v>
      </c>
      <c r="C26" s="3">
        <v>3559.68420733127</v>
      </c>
      <c r="D26" s="3">
        <v>4021.69133305925</v>
      </c>
      <c r="E26" s="3">
        <v>4616.07119687895</v>
      </c>
      <c r="F26" s="3">
        <v>5323.6256748834</v>
      </c>
      <c r="G26" s="3">
        <v>6081.60139422683</v>
      </c>
      <c r="H26" s="3">
        <v>6927.92863158494</v>
      </c>
      <c r="I26" s="3">
        <v>7836.94284148208</v>
      </c>
      <c r="J26" s="3">
        <v>8710.9793481393</v>
      </c>
      <c r="K26" s="3">
        <v>10443.7761602318</v>
      </c>
      <c r="L26" s="3">
        <v>13194.1157774414</v>
      </c>
      <c r="M26" s="3">
        <v>16518.2654983303</v>
      </c>
      <c r="N26" s="3">
        <v>20307.8088572054</v>
      </c>
      <c r="O26" s="3">
        <v>24569.831220309</v>
      </c>
      <c r="P26" s="3">
        <v>29409.6139789882</v>
      </c>
      <c r="Q26" s="3">
        <v>34595.7736638467</v>
      </c>
      <c r="R26" s="3">
        <v>40068.1980409095</v>
      </c>
      <c r="S26" s="3">
        <v>45505.4315914133</v>
      </c>
      <c r="T26" s="3">
        <v>50974.5073950563</v>
      </c>
      <c r="U26" s="3">
        <v>56477.8980121994</v>
      </c>
      <c r="V26" s="3">
        <v>61817.0147606895</v>
      </c>
      <c r="W26" s="3">
        <v>67008.1954373813</v>
      </c>
      <c r="X26" s="1">
        <v>72325.317597905</v>
      </c>
      <c r="Y26" s="1">
        <v>11285.2751945482</v>
      </c>
    </row>
    <row r="27" spans="1:25">
      <c r="A27" s="3" t="s">
        <v>27</v>
      </c>
      <c r="B27" s="3">
        <v>3170.43613011252</v>
      </c>
      <c r="C27" s="3">
        <v>3679.32698662284</v>
      </c>
      <c r="D27" s="3">
        <v>4238.39010826516</v>
      </c>
      <c r="E27" s="3">
        <v>4920.15274085503</v>
      </c>
      <c r="F27" s="3">
        <v>5691.01175183743</v>
      </c>
      <c r="G27" s="3">
        <v>6730.03989787666</v>
      </c>
      <c r="H27" s="3">
        <v>8026.29336887732</v>
      </c>
      <c r="I27" s="3">
        <v>9793.40750041027</v>
      </c>
      <c r="J27" s="3">
        <v>11954.0290768215</v>
      </c>
      <c r="K27" s="3">
        <v>14544.3083234853</v>
      </c>
      <c r="L27" s="3">
        <v>17844.7462790951</v>
      </c>
      <c r="M27" s="3">
        <v>21413.783785112</v>
      </c>
      <c r="N27" s="3">
        <v>25444.3854878662</v>
      </c>
      <c r="O27" s="3">
        <v>29603.9040637421</v>
      </c>
      <c r="P27" s="3">
        <v>33872.2296099374</v>
      </c>
      <c r="Q27" s="3">
        <v>37685.9527985098</v>
      </c>
      <c r="R27" s="3">
        <v>41684.8167080864</v>
      </c>
      <c r="S27" s="3">
        <v>45792.7593036389</v>
      </c>
      <c r="T27" s="3">
        <v>49862.0747354417</v>
      </c>
      <c r="U27" s="3">
        <v>53476.5352993775</v>
      </c>
      <c r="V27" s="3">
        <v>56836.5773301684</v>
      </c>
      <c r="W27" s="3">
        <v>59419.5428297718</v>
      </c>
      <c r="X27" s="1">
        <v>62237.2755089529</v>
      </c>
      <c r="Y27" s="1">
        <v>9339.43536710366</v>
      </c>
    </row>
    <row r="28" spans="1:25">
      <c r="A28" s="3" t="s">
        <v>28</v>
      </c>
      <c r="B28" s="3">
        <v>1691.09050005678</v>
      </c>
      <c r="C28" s="3">
        <v>1959.7960008584</v>
      </c>
      <c r="D28" s="3">
        <v>2268.22062850799</v>
      </c>
      <c r="E28" s="3">
        <v>2613.82345245982</v>
      </c>
      <c r="F28" s="3">
        <v>3016.78126160141</v>
      </c>
      <c r="G28" s="3">
        <v>3466.47067095449</v>
      </c>
      <c r="H28" s="3">
        <v>3967.5075979697</v>
      </c>
      <c r="I28" s="3">
        <v>4551.54385403363</v>
      </c>
      <c r="J28" s="3">
        <v>5219.76231622554</v>
      </c>
      <c r="K28" s="3">
        <v>6024.51671015046</v>
      </c>
      <c r="L28" s="3">
        <v>6984.28215948297</v>
      </c>
      <c r="M28" s="3">
        <v>8126.95989103462</v>
      </c>
      <c r="N28" s="3">
        <v>9413.36256783027</v>
      </c>
      <c r="O28" s="3">
        <v>10910.8251760992</v>
      </c>
      <c r="P28" s="3">
        <v>12565.3885548266</v>
      </c>
      <c r="Q28" s="3">
        <v>14315.1613426041</v>
      </c>
      <c r="R28" s="3">
        <v>16260.2616933555</v>
      </c>
      <c r="S28" s="3">
        <v>16889.910090312</v>
      </c>
      <c r="T28" s="3">
        <v>17254.56363895</v>
      </c>
      <c r="U28" s="3">
        <v>17665.6366438244</v>
      </c>
      <c r="V28" s="3">
        <v>18162.5639340535</v>
      </c>
      <c r="W28" s="3">
        <v>18850.9886164371</v>
      </c>
      <c r="X28" s="1">
        <v>19679.5472515152</v>
      </c>
      <c r="Y28" s="1">
        <v>3050.15918377967</v>
      </c>
    </row>
    <row r="29" spans="1:25">
      <c r="A29" s="3" t="s">
        <v>29</v>
      </c>
      <c r="B29" s="3">
        <v>744.699912882014</v>
      </c>
      <c r="C29" s="3">
        <v>864.646106517882</v>
      </c>
      <c r="D29" s="3">
        <v>1005.60782098742</v>
      </c>
      <c r="E29" s="3">
        <v>1162.6602580935</v>
      </c>
      <c r="F29" s="3">
        <v>1325.39441346377</v>
      </c>
      <c r="G29" s="3">
        <v>1508.67792681563</v>
      </c>
      <c r="H29" s="3">
        <v>1706.12087403375</v>
      </c>
      <c r="I29" s="3">
        <v>1925.44495955175</v>
      </c>
      <c r="J29" s="3">
        <v>2160.77889912538</v>
      </c>
      <c r="K29" s="3">
        <v>2524.57051886498</v>
      </c>
      <c r="L29" s="3">
        <v>3020.93200287923</v>
      </c>
      <c r="M29" s="3">
        <v>3629.82329341728</v>
      </c>
      <c r="N29" s="3">
        <v>4504.76772052772</v>
      </c>
      <c r="O29" s="3">
        <v>5610.67727701881</v>
      </c>
      <c r="P29" s="3">
        <v>6932.00882227071</v>
      </c>
      <c r="Q29" s="3">
        <v>8377.732104506</v>
      </c>
      <c r="R29" s="3">
        <v>9840.28412792189</v>
      </c>
      <c r="S29" s="3">
        <v>11237.158645728</v>
      </c>
      <c r="T29" s="3">
        <v>12552.1352271656</v>
      </c>
      <c r="U29" s="3">
        <v>13785.1018184243</v>
      </c>
      <c r="V29" s="3">
        <v>14506.6343642643</v>
      </c>
      <c r="W29" s="3">
        <v>15056.5302326994</v>
      </c>
      <c r="X29" s="1">
        <v>15337.1904246221</v>
      </c>
      <c r="Y29" s="1">
        <v>1777.15593285529</v>
      </c>
    </row>
    <row r="30" spans="1:25">
      <c r="A30" s="3" t="s">
        <v>30</v>
      </c>
      <c r="B30" s="3">
        <v>597.389842774239</v>
      </c>
      <c r="C30" s="3">
        <v>724.832172163818</v>
      </c>
      <c r="D30" s="3">
        <v>871.228420326861</v>
      </c>
      <c r="E30" s="3">
        <v>1080.07032164179</v>
      </c>
      <c r="F30" s="3">
        <v>1307.8864627421</v>
      </c>
      <c r="G30" s="3">
        <v>1583.88975044758</v>
      </c>
      <c r="H30" s="3">
        <v>1916.79169190737</v>
      </c>
      <c r="I30" s="3">
        <v>2263.79351350104</v>
      </c>
      <c r="J30" s="3">
        <v>2719.578897163</v>
      </c>
      <c r="K30" s="3">
        <v>3348.53680936453</v>
      </c>
      <c r="L30" s="3">
        <v>4099.81870374668</v>
      </c>
      <c r="M30" s="3">
        <v>4804.7045592257</v>
      </c>
      <c r="N30" s="3">
        <v>5631.25954427712</v>
      </c>
      <c r="O30" s="3">
        <v>6546.24383393975</v>
      </c>
      <c r="P30" s="3">
        <v>7871.67946521298</v>
      </c>
      <c r="Q30" s="3">
        <v>9475.33155474554</v>
      </c>
      <c r="R30" s="3">
        <v>11082.2794238655</v>
      </c>
      <c r="S30" s="3">
        <v>12417.9675469623</v>
      </c>
      <c r="T30" s="3">
        <v>13072.562424999</v>
      </c>
      <c r="U30" s="3">
        <v>13412.3555603777</v>
      </c>
      <c r="V30" s="3">
        <v>13758.5661360293</v>
      </c>
      <c r="W30" s="3">
        <v>14081.1610641087</v>
      </c>
      <c r="X30" s="1">
        <v>14509.7604564484</v>
      </c>
      <c r="Y30" s="1">
        <v>2072.0606080071</v>
      </c>
    </row>
    <row r="31" spans="1:25">
      <c r="A31" s="3" t="s">
        <v>31</v>
      </c>
      <c r="B31" s="3">
        <v>2872.07281425793</v>
      </c>
      <c r="C31" s="3">
        <v>3259.84973137624</v>
      </c>
      <c r="D31" s="3">
        <v>3736.7068056565</v>
      </c>
      <c r="E31" s="3">
        <v>4343.42625647431</v>
      </c>
      <c r="F31" s="3">
        <v>4984.29657330508</v>
      </c>
      <c r="G31" s="3">
        <v>5651.45709016478</v>
      </c>
      <c r="H31" s="3">
        <v>6401.05912179208</v>
      </c>
      <c r="I31" s="3">
        <v>7248.29726685661</v>
      </c>
      <c r="J31" s="3">
        <v>8142.46728387461</v>
      </c>
      <c r="K31" s="3">
        <v>9114.55323830697</v>
      </c>
      <c r="L31" s="3">
        <v>10445.6749827695</v>
      </c>
      <c r="M31" s="3">
        <v>11958.1737052997</v>
      </c>
      <c r="N31" s="3">
        <v>14311.665170111</v>
      </c>
      <c r="O31" s="3">
        <v>17364.8222303591</v>
      </c>
      <c r="P31" s="3">
        <v>20970.5136405639</v>
      </c>
      <c r="Q31" s="3">
        <v>24582.9747875991</v>
      </c>
      <c r="R31" s="3">
        <v>27737.4524608152</v>
      </c>
      <c r="S31" s="3">
        <v>31680.4216199168</v>
      </c>
      <c r="T31" s="3">
        <v>33245.1610783658</v>
      </c>
      <c r="U31" s="3">
        <v>34623.7059277681</v>
      </c>
      <c r="V31" s="3">
        <v>36578.5174656442</v>
      </c>
      <c r="W31" s="3">
        <v>39103.1138918182</v>
      </c>
      <c r="X31" s="1">
        <v>41723.2629902961</v>
      </c>
      <c r="Y31" s="1">
        <v>7762.17582826786</v>
      </c>
    </row>
    <row r="32" spans="1:1">
      <c r="A3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原始数据和计算过程</vt:lpstr>
      <vt:lpstr>各省资本存量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张理平</dc:creator>
  <cp:lastModifiedBy>无衣</cp:lastModifiedBy>
  <dcterms:created xsi:type="dcterms:W3CDTF">2015-06-05T02:17:00Z</dcterms:created>
  <dcterms:modified xsi:type="dcterms:W3CDTF">2025-06-17T14:06:38Z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d8af18e2da6441a9889b108c99d00d8a</vt:lpwstr>
  </property>
</Properties>
</file>